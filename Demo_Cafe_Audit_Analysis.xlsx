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ekingori\Downloads\"/>
    </mc:Choice>
  </mc:AlternateContent>
  <xr:revisionPtr revIDLastSave="0" documentId="13_ncr:1_{D11A8FBA-DE93-438B-89B9-5D3EA2C460A9}" xr6:coauthVersionLast="47" xr6:coauthVersionMax="47" xr10:uidLastSave="{00000000-0000-0000-0000-000000000000}"/>
  <bookViews>
    <workbookView xWindow="-108" yWindow="-108" windowWidth="23256" windowHeight="12456" activeTab="1" xr2:uid="{00000000-000D-0000-FFFF-FFFF00000000}"/>
  </bookViews>
  <sheets>
    <sheet name="Profit and Loss" sheetId="1" r:id="rId1"/>
    <sheet name="Balance Sheet" sheetId="2" r:id="rId2"/>
    <sheet name="Schedule of Expenses" sheetId="3" r:id="rId3"/>
    <sheet name="Branch Sales" sheetId="4" r:id="rId4"/>
    <sheet name="Monthly Sales Ranking"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0" i="4" l="1"/>
  <c r="AB81" i="4"/>
  <c r="AB80" i="4"/>
  <c r="AB79" i="4"/>
  <c r="Z76" i="4"/>
  <c r="Z83" i="4" s="1"/>
  <c r="X76" i="4"/>
  <c r="X83" i="4" s="1"/>
  <c r="V76" i="4"/>
  <c r="V83" i="4" s="1"/>
  <c r="T76" i="4"/>
  <c r="T83" i="4" s="1"/>
  <c r="R76" i="4"/>
  <c r="R83" i="4" s="1"/>
  <c r="P76" i="4"/>
  <c r="P83" i="4" s="1"/>
  <c r="N76" i="4"/>
  <c r="N83" i="4" s="1"/>
  <c r="L76" i="4"/>
  <c r="L83" i="4" s="1"/>
  <c r="J76" i="4"/>
  <c r="J83" i="4" s="1"/>
  <c r="H76" i="4"/>
  <c r="H83" i="4" s="1"/>
  <c r="F76" i="4"/>
  <c r="F83" i="4" s="1"/>
  <c r="D76" i="4"/>
  <c r="D83" i="4" s="1"/>
  <c r="AB75" i="4"/>
  <c r="AB74" i="4"/>
  <c r="AB73" i="4"/>
  <c r="AB72" i="4"/>
  <c r="AB71" i="4"/>
  <c r="AB70" i="4"/>
  <c r="AB69" i="4"/>
  <c r="AB68" i="4"/>
  <c r="AB67" i="4"/>
  <c r="AB66" i="4"/>
  <c r="AB65" i="4"/>
  <c r="AB64" i="4"/>
  <c r="AB63" i="4"/>
  <c r="AB62" i="4"/>
  <c r="AB61" i="4"/>
  <c r="AB60" i="4"/>
  <c r="AB59" i="4"/>
  <c r="AB58" i="4"/>
  <c r="AB57" i="4"/>
  <c r="AB56" i="4"/>
  <c r="AB55" i="4"/>
  <c r="AB54" i="4"/>
  <c r="AB53" i="4"/>
  <c r="AB52" i="4"/>
  <c r="AB51" i="4"/>
  <c r="AB50" i="4"/>
  <c r="AB49" i="4"/>
  <c r="AB48" i="4"/>
  <c r="AB47" i="4"/>
  <c r="AB46" i="4"/>
  <c r="AB45" i="4"/>
  <c r="AB44" i="4"/>
  <c r="AB43" i="4"/>
  <c r="AB42" i="4"/>
  <c r="AB41" i="4"/>
  <c r="AB40" i="4"/>
  <c r="AB39" i="4"/>
  <c r="AB38" i="4"/>
  <c r="AB37" i="4"/>
  <c r="AB36" i="4"/>
  <c r="AB35" i="4"/>
  <c r="AB34" i="4"/>
  <c r="AB33" i="4"/>
  <c r="AB32" i="4"/>
  <c r="AB31" i="4"/>
  <c r="AB30" i="4"/>
  <c r="AB29" i="4"/>
  <c r="AB28" i="4"/>
  <c r="AB27" i="4"/>
  <c r="AB26" i="4"/>
  <c r="AB25" i="4"/>
  <c r="AB24" i="4"/>
  <c r="AB23" i="4"/>
  <c r="AB22" i="4"/>
  <c r="AB21" i="4"/>
  <c r="AB20" i="4"/>
  <c r="AB19" i="4"/>
  <c r="AB18" i="4"/>
  <c r="AB17" i="4"/>
  <c r="AB16" i="4"/>
  <c r="AB15" i="4"/>
  <c r="AB14" i="4"/>
  <c r="AB13" i="4"/>
  <c r="AB12" i="4"/>
  <c r="AB11" i="4"/>
  <c r="AB10" i="4"/>
  <c r="AB9" i="4"/>
  <c r="AB8" i="4"/>
  <c r="AB7" i="4"/>
  <c r="G70" i="3"/>
  <c r="H70" i="3" s="1"/>
  <c r="F70" i="3"/>
  <c r="I70" i="3" s="1"/>
  <c r="H69" i="3"/>
  <c r="I69" i="3" s="1"/>
  <c r="H68" i="3"/>
  <c r="I68" i="3" s="1"/>
  <c r="H67" i="3"/>
  <c r="I67" i="3" s="1"/>
  <c r="H66" i="3"/>
  <c r="I66" i="3" s="1"/>
  <c r="H65" i="3"/>
  <c r="I65" i="3" s="1"/>
  <c r="H64" i="3"/>
  <c r="I64" i="3" s="1"/>
  <c r="H63" i="3"/>
  <c r="I63" i="3" s="1"/>
  <c r="H62" i="3"/>
  <c r="I62" i="3" s="1"/>
  <c r="H61" i="3"/>
  <c r="I61" i="3" s="1"/>
  <c r="I60" i="3"/>
  <c r="H60" i="3"/>
  <c r="H59" i="3"/>
  <c r="I59" i="3" s="1"/>
  <c r="H58" i="3"/>
  <c r="I58" i="3" s="1"/>
  <c r="H57" i="3"/>
  <c r="I57" i="3" s="1"/>
  <c r="H56" i="3"/>
  <c r="I56" i="3" s="1"/>
  <c r="G52" i="3"/>
  <c r="H52" i="3" s="1"/>
  <c r="F52" i="3"/>
  <c r="I52" i="3" s="1"/>
  <c r="H51" i="3"/>
  <c r="I51" i="3" s="1"/>
  <c r="H50" i="3"/>
  <c r="I50" i="3" s="1"/>
  <c r="H49" i="3"/>
  <c r="I49" i="3" s="1"/>
  <c r="H48" i="3"/>
  <c r="I48" i="3" s="1"/>
  <c r="H47" i="3"/>
  <c r="I47" i="3" s="1"/>
  <c r="H46" i="3"/>
  <c r="I46" i="3" s="1"/>
  <c r="H45" i="3"/>
  <c r="I45" i="3" s="1"/>
  <c r="H44" i="3"/>
  <c r="I44" i="3" s="1"/>
  <c r="H43" i="3"/>
  <c r="I43" i="3" s="1"/>
  <c r="H42" i="3"/>
  <c r="I42" i="3" s="1"/>
  <c r="H41" i="3"/>
  <c r="I41" i="3" s="1"/>
  <c r="H40" i="3"/>
  <c r="I40" i="3" s="1"/>
  <c r="H39" i="3"/>
  <c r="I39" i="3" s="1"/>
  <c r="H38" i="3"/>
  <c r="I38" i="3" s="1"/>
  <c r="H37" i="3"/>
  <c r="I37" i="3" s="1"/>
  <c r="H35" i="3"/>
  <c r="I35" i="3" s="1"/>
  <c r="H34" i="3"/>
  <c r="I34" i="3" s="1"/>
  <c r="H33" i="3"/>
  <c r="I33" i="3" s="1"/>
  <c r="I29" i="3"/>
  <c r="H29" i="3"/>
  <c r="H28" i="3"/>
  <c r="I28" i="3" s="1"/>
  <c r="H27" i="3"/>
  <c r="I27" i="3" s="1"/>
  <c r="H26" i="3"/>
  <c r="I26" i="3" s="1"/>
  <c r="H25" i="3"/>
  <c r="I25" i="3" s="1"/>
  <c r="H24" i="3"/>
  <c r="I24" i="3" s="1"/>
  <c r="H23" i="3"/>
  <c r="I23" i="3" s="1"/>
  <c r="H22" i="3"/>
  <c r="I22" i="3" s="1"/>
  <c r="H21" i="3"/>
  <c r="I21" i="3" s="1"/>
  <c r="G20" i="3"/>
  <c r="F20" i="3"/>
  <c r="G16" i="3"/>
  <c r="H16" i="3" s="1"/>
  <c r="F16" i="3"/>
  <c r="I16" i="3" s="1"/>
  <c r="H15" i="3"/>
  <c r="I15" i="3" s="1"/>
  <c r="H14" i="3"/>
  <c r="I14" i="3" s="1"/>
  <c r="G11" i="3"/>
  <c r="H11" i="3" s="1"/>
  <c r="F11" i="3"/>
  <c r="I11" i="3" s="1"/>
  <c r="H10" i="3"/>
  <c r="I10" i="3" s="1"/>
  <c r="H9" i="3"/>
  <c r="I9" i="3" s="1"/>
  <c r="H8" i="3"/>
  <c r="I8" i="3" s="1"/>
  <c r="H7" i="3"/>
  <c r="I7" i="3" s="1"/>
  <c r="H6" i="3"/>
  <c r="I6" i="3" s="1"/>
  <c r="I90" i="2"/>
  <c r="H90" i="2"/>
  <c r="H89" i="2"/>
  <c r="I89" i="2" s="1"/>
  <c r="I88" i="2"/>
  <c r="H88" i="2"/>
  <c r="H87" i="2"/>
  <c r="I87" i="2" s="1"/>
  <c r="H86" i="2"/>
  <c r="I86" i="2" s="1"/>
  <c r="H85" i="2"/>
  <c r="I85" i="2" s="1"/>
  <c r="H84" i="2"/>
  <c r="I84" i="2" s="1"/>
  <c r="I83" i="2"/>
  <c r="H83" i="2"/>
  <c r="H82" i="2"/>
  <c r="I82" i="2" s="1"/>
  <c r="H81" i="2"/>
  <c r="I81" i="2" s="1"/>
  <c r="H80" i="2"/>
  <c r="I80" i="2" s="1"/>
  <c r="H79" i="2"/>
  <c r="I79" i="2" s="1"/>
  <c r="G78" i="2"/>
  <c r="H78" i="2" s="1"/>
  <c r="F78" i="2"/>
  <c r="I78" i="2" s="1"/>
  <c r="H77" i="2"/>
  <c r="I77" i="2" s="1"/>
  <c r="H76" i="2"/>
  <c r="I76" i="2" s="1"/>
  <c r="H75" i="2"/>
  <c r="I75" i="2" s="1"/>
  <c r="G74" i="2"/>
  <c r="F74" i="2"/>
  <c r="G71" i="2"/>
  <c r="F71" i="2"/>
  <c r="H70" i="2"/>
  <c r="I70" i="2" s="1"/>
  <c r="H69" i="2"/>
  <c r="I69" i="2" s="1"/>
  <c r="H68" i="2"/>
  <c r="I68" i="2" s="1"/>
  <c r="H67" i="2"/>
  <c r="I67" i="2" s="1"/>
  <c r="H66" i="2"/>
  <c r="I66" i="2" s="1"/>
  <c r="H65" i="2"/>
  <c r="I65" i="2" s="1"/>
  <c r="H64" i="2"/>
  <c r="I64" i="2" s="1"/>
  <c r="H63" i="2"/>
  <c r="I63" i="2" s="1"/>
  <c r="H62" i="2"/>
  <c r="I62" i="2" s="1"/>
  <c r="H61" i="2"/>
  <c r="I61" i="2" s="1"/>
  <c r="H60" i="2"/>
  <c r="I60" i="2" s="1"/>
  <c r="H59" i="2"/>
  <c r="I59" i="2" s="1"/>
  <c r="H58" i="2"/>
  <c r="I58" i="2" s="1"/>
  <c r="H57" i="2"/>
  <c r="I57" i="2" s="1"/>
  <c r="H53" i="2"/>
  <c r="H52" i="2"/>
  <c r="H51" i="2"/>
  <c r="H50" i="2"/>
  <c r="H49" i="2"/>
  <c r="H48" i="2"/>
  <c r="H47" i="2"/>
  <c r="H46" i="2"/>
  <c r="I45" i="2"/>
  <c r="H45" i="2"/>
  <c r="H44" i="2"/>
  <c r="I44" i="2" s="1"/>
  <c r="H43" i="2"/>
  <c r="I43" i="2" s="1"/>
  <c r="G42" i="2"/>
  <c r="H42" i="2" s="1"/>
  <c r="F42" i="2"/>
  <c r="I42" i="2" s="1"/>
  <c r="H41" i="2"/>
  <c r="I41" i="2" s="1"/>
  <c r="H40" i="2"/>
  <c r="I40" i="2" s="1"/>
  <c r="G39" i="2"/>
  <c r="H39" i="2" s="1"/>
  <c r="F39" i="2"/>
  <c r="I39" i="2" s="1"/>
  <c r="H38" i="2"/>
  <c r="I38" i="2" s="1"/>
  <c r="H37" i="2"/>
  <c r="I37" i="2" s="1"/>
  <c r="G36" i="2"/>
  <c r="F36" i="2"/>
  <c r="H35" i="2"/>
  <c r="I35" i="2" s="1"/>
  <c r="H34" i="2"/>
  <c r="I34" i="2" s="1"/>
  <c r="H33" i="2"/>
  <c r="I33" i="2" s="1"/>
  <c r="H32" i="2"/>
  <c r="I32" i="2" s="1"/>
  <c r="H31" i="2"/>
  <c r="I31" i="2" s="1"/>
  <c r="H30" i="2"/>
  <c r="I30" i="2" s="1"/>
  <c r="H29" i="2"/>
  <c r="I29" i="2" s="1"/>
  <c r="I28" i="2"/>
  <c r="H28" i="2"/>
  <c r="H27" i="2"/>
  <c r="I27" i="2" s="1"/>
  <c r="H26" i="2"/>
  <c r="I26" i="2" s="1"/>
  <c r="H20" i="2"/>
  <c r="I20" i="2" s="1"/>
  <c r="H19" i="2"/>
  <c r="I19" i="2" s="1"/>
  <c r="H18" i="2"/>
  <c r="I18" i="2" s="1"/>
  <c r="G17" i="2"/>
  <c r="F17" i="2"/>
  <c r="H11" i="2"/>
  <c r="I11" i="2" s="1"/>
  <c r="I9" i="2"/>
  <c r="H9" i="2"/>
  <c r="H8" i="2"/>
  <c r="I8" i="2" s="1"/>
  <c r="H7" i="2"/>
  <c r="I7" i="2" s="1"/>
  <c r="H6" i="2"/>
  <c r="I6" i="2" s="1"/>
  <c r="G95" i="1"/>
  <c r="F95" i="1"/>
  <c r="H94" i="1"/>
  <c r="I94" i="1" s="1"/>
  <c r="I90" i="1"/>
  <c r="H90" i="1"/>
  <c r="H89" i="1"/>
  <c r="I89" i="1" s="1"/>
  <c r="G88" i="1"/>
  <c r="H88" i="1" s="1"/>
  <c r="F88" i="1"/>
  <c r="I88" i="1" s="1"/>
  <c r="H85" i="1"/>
  <c r="I85" i="1" s="1"/>
  <c r="H84" i="1"/>
  <c r="I84" i="1" s="1"/>
  <c r="H83" i="1"/>
  <c r="I83" i="1" s="1"/>
  <c r="H82" i="1"/>
  <c r="I82" i="1" s="1"/>
  <c r="I81" i="1"/>
  <c r="H81" i="1"/>
  <c r="H80" i="1"/>
  <c r="I80" i="1" s="1"/>
  <c r="H79" i="1"/>
  <c r="I79" i="1" s="1"/>
  <c r="G78" i="1"/>
  <c r="H78" i="1" s="1"/>
  <c r="F78" i="1"/>
  <c r="I78" i="1" s="1"/>
  <c r="G75" i="1"/>
  <c r="H75" i="1" s="1"/>
  <c r="F75" i="1"/>
  <c r="I75" i="1" s="1"/>
  <c r="G74" i="1"/>
  <c r="H74" i="1" s="1"/>
  <c r="F74" i="1"/>
  <c r="I74" i="1" s="1"/>
  <c r="G73" i="1"/>
  <c r="H73" i="1" s="1"/>
  <c r="F73" i="1"/>
  <c r="I73" i="1" s="1"/>
  <c r="G72" i="1"/>
  <c r="H72" i="1" s="1"/>
  <c r="F72" i="1"/>
  <c r="I72" i="1" s="1"/>
  <c r="G71" i="1"/>
  <c r="H71" i="1" s="1"/>
  <c r="F71" i="1"/>
  <c r="I71" i="1" s="1"/>
  <c r="G70" i="1"/>
  <c r="H70" i="1" s="1"/>
  <c r="F70" i="1"/>
  <c r="I70" i="1" s="1"/>
  <c r="G69" i="1"/>
  <c r="H69" i="1" s="1"/>
  <c r="F69" i="1"/>
  <c r="I69" i="1" s="1"/>
  <c r="G68" i="1"/>
  <c r="H68" i="1" s="1"/>
  <c r="F68" i="1"/>
  <c r="I68" i="1" s="1"/>
  <c r="G67" i="1"/>
  <c r="H67" i="1" s="1"/>
  <c r="F67" i="1"/>
  <c r="I67" i="1" s="1"/>
  <c r="G66" i="1"/>
  <c r="H66" i="1" s="1"/>
  <c r="F66" i="1"/>
  <c r="I66" i="1" s="1"/>
  <c r="G65" i="1"/>
  <c r="H65" i="1" s="1"/>
  <c r="F65" i="1"/>
  <c r="G64" i="1"/>
  <c r="H64" i="1" s="1"/>
  <c r="I64" i="1" s="1"/>
  <c r="F64" i="1"/>
  <c r="G63" i="1"/>
  <c r="H63" i="1" s="1"/>
  <c r="F63" i="1"/>
  <c r="I63" i="1" s="1"/>
  <c r="G62" i="1"/>
  <c r="H62" i="1" s="1"/>
  <c r="F62" i="1"/>
  <c r="I62" i="1" s="1"/>
  <c r="G61" i="1"/>
  <c r="H61" i="1" s="1"/>
  <c r="F61" i="1"/>
  <c r="I61" i="1" s="1"/>
  <c r="G59" i="1"/>
  <c r="H59" i="1" s="1"/>
  <c r="F59" i="1"/>
  <c r="I59" i="1" s="1"/>
  <c r="G58" i="1"/>
  <c r="H58" i="1" s="1"/>
  <c r="F58" i="1"/>
  <c r="I58" i="1" s="1"/>
  <c r="G57" i="1"/>
  <c r="H57" i="1" s="1"/>
  <c r="F57" i="1"/>
  <c r="I57" i="1" s="1"/>
  <c r="G56" i="1"/>
  <c r="H56" i="1" s="1"/>
  <c r="F56" i="1"/>
  <c r="I56" i="1" s="1"/>
  <c r="G55" i="1"/>
  <c r="H55" i="1" s="1"/>
  <c r="F55" i="1"/>
  <c r="I55" i="1" s="1"/>
  <c r="G54" i="1"/>
  <c r="H54" i="1" s="1"/>
  <c r="F54" i="1"/>
  <c r="I54" i="1" s="1"/>
  <c r="G53" i="1"/>
  <c r="H53" i="1" s="1"/>
  <c r="F53" i="1"/>
  <c r="I53" i="1" s="1"/>
  <c r="G52" i="1"/>
  <c r="H52" i="1" s="1"/>
  <c r="F52" i="1"/>
  <c r="I52" i="1" s="1"/>
  <c r="G51" i="1"/>
  <c r="H51" i="1" s="1"/>
  <c r="F51" i="1"/>
  <c r="I51" i="1" s="1"/>
  <c r="G50" i="1"/>
  <c r="H50" i="1" s="1"/>
  <c r="F50" i="1"/>
  <c r="I50" i="1" s="1"/>
  <c r="G49" i="1"/>
  <c r="H49" i="1" s="1"/>
  <c r="F49" i="1"/>
  <c r="I49" i="1" s="1"/>
  <c r="G48" i="1"/>
  <c r="F48" i="1"/>
  <c r="G47" i="1"/>
  <c r="H47" i="1" s="1"/>
  <c r="F47" i="1"/>
  <c r="I47" i="1" s="1"/>
  <c r="G46" i="1"/>
  <c r="H46" i="1" s="1"/>
  <c r="F46" i="1"/>
  <c r="I46" i="1" s="1"/>
  <c r="H45" i="1"/>
  <c r="G45" i="1"/>
  <c r="F45" i="1"/>
  <c r="I45" i="1" s="1"/>
  <c r="G44" i="1"/>
  <c r="H44" i="1" s="1"/>
  <c r="F44" i="1"/>
  <c r="I44" i="1" s="1"/>
  <c r="G42" i="1"/>
  <c r="H42" i="1" s="1"/>
  <c r="F42" i="1"/>
  <c r="I42" i="1" s="1"/>
  <c r="G41" i="1"/>
  <c r="H41" i="1" s="1"/>
  <c r="F41" i="1"/>
  <c r="I41" i="1" s="1"/>
  <c r="G40" i="1"/>
  <c r="H40" i="1" s="1"/>
  <c r="F40" i="1"/>
  <c r="I40" i="1" s="1"/>
  <c r="G37" i="1"/>
  <c r="H37" i="1" s="1"/>
  <c r="F37" i="1"/>
  <c r="I37" i="1" s="1"/>
  <c r="G36" i="1"/>
  <c r="H36" i="1" s="1"/>
  <c r="F36" i="1"/>
  <c r="I36" i="1" s="1"/>
  <c r="G35" i="1"/>
  <c r="F35" i="1"/>
  <c r="G34" i="1"/>
  <c r="H34" i="1" s="1"/>
  <c r="F34" i="1"/>
  <c r="G33" i="1"/>
  <c r="H33" i="1" s="1"/>
  <c r="F33" i="1"/>
  <c r="I33" i="1" s="1"/>
  <c r="I32" i="1"/>
  <c r="H32" i="1"/>
  <c r="G32" i="1"/>
  <c r="F32" i="1"/>
  <c r="G31" i="1"/>
  <c r="H31" i="1" s="1"/>
  <c r="F31" i="1"/>
  <c r="I31" i="1" s="1"/>
  <c r="G30" i="1"/>
  <c r="H30" i="1" s="1"/>
  <c r="F30" i="1"/>
  <c r="G29" i="1"/>
  <c r="H29" i="1" s="1"/>
  <c r="F29" i="1"/>
  <c r="I29" i="1" s="1"/>
  <c r="G28" i="1"/>
  <c r="H28" i="1" s="1"/>
  <c r="F28" i="1"/>
  <c r="I28" i="1" s="1"/>
  <c r="G24" i="1"/>
  <c r="H24" i="1" s="1"/>
  <c r="F24" i="1"/>
  <c r="I24" i="1" s="1"/>
  <c r="G23" i="1"/>
  <c r="H23" i="1" s="1"/>
  <c r="F23" i="1"/>
  <c r="I23" i="1" s="1"/>
  <c r="G22" i="1"/>
  <c r="H22" i="1" s="1"/>
  <c r="F22" i="1"/>
  <c r="I22" i="1" s="1"/>
  <c r="H20" i="1"/>
  <c r="I20" i="1" s="1"/>
  <c r="H19" i="1"/>
  <c r="I19" i="1" s="1"/>
  <c r="G18" i="1"/>
  <c r="H18" i="1" s="1"/>
  <c r="F18" i="1"/>
  <c r="I18" i="1" s="1"/>
  <c r="G15" i="1"/>
  <c r="H15" i="1" s="1"/>
  <c r="F15" i="1"/>
  <c r="I15" i="1" s="1"/>
  <c r="G14" i="1"/>
  <c r="H14" i="1" s="1"/>
  <c r="F14" i="1"/>
  <c r="I14" i="1" s="1"/>
  <c r="G13" i="1"/>
  <c r="H13" i="1" s="1"/>
  <c r="F13" i="1"/>
  <c r="I13" i="1" s="1"/>
  <c r="G12" i="1"/>
  <c r="H12" i="1" s="1"/>
  <c r="F12" i="1"/>
  <c r="I12" i="1" s="1"/>
  <c r="G11" i="1"/>
  <c r="H11" i="1" s="1"/>
  <c r="F11" i="1"/>
  <c r="I11" i="1" s="1"/>
  <c r="G10" i="1"/>
  <c r="H10" i="1" s="1"/>
  <c r="F10" i="1"/>
  <c r="H8" i="1"/>
  <c r="I8" i="1" s="1"/>
  <c r="H7" i="1"/>
  <c r="I7" i="1" s="1"/>
  <c r="H6" i="1"/>
  <c r="I6" i="1" s="1"/>
  <c r="G5" i="1"/>
  <c r="F5" i="1"/>
  <c r="B31" i="4" l="1"/>
  <c r="B59" i="4"/>
  <c r="B27" i="4"/>
  <c r="AA83" i="4"/>
  <c r="Z88" i="4"/>
  <c r="D6" i="5"/>
  <c r="AA7" i="4"/>
  <c r="AA8" i="4"/>
  <c r="AA9" i="4"/>
  <c r="AA10" i="4"/>
  <c r="AA11" i="4"/>
  <c r="AA12" i="4"/>
  <c r="AA13" i="4"/>
  <c r="AA14" i="4"/>
  <c r="AA15" i="4"/>
  <c r="AA16" i="4"/>
  <c r="AA17" i="4"/>
  <c r="AA23" i="4"/>
  <c r="AA24" i="4"/>
  <c r="AA25" i="4"/>
  <c r="AA26" i="4"/>
  <c r="AA19" i="4"/>
  <c r="AA27" i="4"/>
  <c r="AA30" i="4"/>
  <c r="AA31" i="4"/>
  <c r="AA38" i="4"/>
  <c r="AA39" i="4"/>
  <c r="AA40" i="4"/>
  <c r="AA41" i="4"/>
  <c r="AA42" i="4"/>
  <c r="AA43" i="4"/>
  <c r="AA44" i="4"/>
  <c r="AA45" i="4"/>
  <c r="AA46" i="4"/>
  <c r="AA47" i="4"/>
  <c r="AA49" i="4"/>
  <c r="AA50" i="4"/>
  <c r="AA51" i="4"/>
  <c r="AA54" i="4"/>
  <c r="AA55" i="4"/>
  <c r="AA57" i="4"/>
  <c r="AA58" i="4"/>
  <c r="AA21" i="4"/>
  <c r="AA28" i="4"/>
  <c r="AA29" i="4"/>
  <c r="AA35" i="4"/>
  <c r="AA36" i="4"/>
  <c r="AA37" i="4"/>
  <c r="AA60" i="4"/>
  <c r="AA61" i="4"/>
  <c r="AA62" i="4"/>
  <c r="AA63" i="4"/>
  <c r="AA64" i="4"/>
  <c r="AA65" i="4"/>
  <c r="AA67" i="4"/>
  <c r="AA68" i="4"/>
  <c r="AA69" i="4"/>
  <c r="AA70" i="4"/>
  <c r="AA71" i="4"/>
  <c r="AA72" i="4"/>
  <c r="AA73" i="4"/>
  <c r="AA18" i="4"/>
  <c r="AA20" i="4"/>
  <c r="AA22" i="4"/>
  <c r="AA32" i="4"/>
  <c r="AA33" i="4"/>
  <c r="AA34" i="4"/>
  <c r="AA59" i="4"/>
  <c r="AA76" i="4"/>
  <c r="AA79" i="4"/>
  <c r="Y83" i="4"/>
  <c r="X88" i="4"/>
  <c r="D10" i="5"/>
  <c r="Y7" i="4"/>
  <c r="Y8" i="4"/>
  <c r="Y9" i="4"/>
  <c r="Y10" i="4"/>
  <c r="Y11" i="4"/>
  <c r="Y12" i="4"/>
  <c r="Y13" i="4"/>
  <c r="Y14" i="4"/>
  <c r="Y15" i="4"/>
  <c r="Y16" i="4"/>
  <c r="Y17" i="4"/>
  <c r="Y23" i="4"/>
  <c r="Y24" i="4"/>
  <c r="Y25" i="4"/>
  <c r="Y26" i="4"/>
  <c r="Y19" i="4"/>
  <c r="Y27" i="4"/>
  <c r="Y30" i="4"/>
  <c r="Y31" i="4"/>
  <c r="Y38" i="4"/>
  <c r="Y39" i="4"/>
  <c r="Y40" i="4"/>
  <c r="Y41" i="4"/>
  <c r="Y42" i="4"/>
  <c r="Y43" i="4"/>
  <c r="Y44" i="4"/>
  <c r="Y45" i="4"/>
  <c r="Y46" i="4"/>
  <c r="Y47" i="4"/>
  <c r="Y49" i="4"/>
  <c r="Y50" i="4"/>
  <c r="Y51" i="4"/>
  <c r="Y54" i="4"/>
  <c r="Y55" i="4"/>
  <c r="Y57" i="4"/>
  <c r="Y58" i="4"/>
  <c r="Y21" i="4"/>
  <c r="Y28" i="4"/>
  <c r="Y29" i="4"/>
  <c r="Y35" i="4"/>
  <c r="Y36" i="4"/>
  <c r="Y37" i="4"/>
  <c r="Y60" i="4"/>
  <c r="Y61" i="4"/>
  <c r="Y62" i="4"/>
  <c r="Y64" i="4"/>
  <c r="Y65" i="4"/>
  <c r="Y67" i="4"/>
  <c r="Y72" i="4"/>
  <c r="Y73" i="4"/>
  <c r="Y18" i="4"/>
  <c r="Y20" i="4"/>
  <c r="Y22" i="4"/>
  <c r="Y32" i="4"/>
  <c r="Y33" i="4"/>
  <c r="Y34" i="4"/>
  <c r="Y59" i="4"/>
  <c r="Y76" i="4"/>
  <c r="Y79" i="4"/>
  <c r="W83" i="4"/>
  <c r="V88" i="4"/>
  <c r="D8" i="5"/>
  <c r="W7" i="4"/>
  <c r="W8" i="4"/>
  <c r="W9" i="4"/>
  <c r="W10" i="4"/>
  <c r="W11" i="4"/>
  <c r="W12" i="4"/>
  <c r="W13" i="4"/>
  <c r="W14" i="4"/>
  <c r="W15" i="4"/>
  <c r="W16" i="4"/>
  <c r="W17" i="4"/>
  <c r="W23" i="4"/>
  <c r="W24" i="4"/>
  <c r="W25" i="4"/>
  <c r="W26" i="4"/>
  <c r="W19" i="4"/>
  <c r="W27" i="4"/>
  <c r="W30" i="4"/>
  <c r="W31" i="4"/>
  <c r="W38" i="4"/>
  <c r="W39" i="4"/>
  <c r="W40" i="4"/>
  <c r="W41" i="4"/>
  <c r="W42" i="4"/>
  <c r="W43" i="4"/>
  <c r="W44" i="4"/>
  <c r="W45" i="4"/>
  <c r="W46" i="4"/>
  <c r="W47" i="4"/>
  <c r="W48" i="4"/>
  <c r="W49" i="4"/>
  <c r="W50" i="4"/>
  <c r="W51" i="4"/>
  <c r="W54" i="4"/>
  <c r="W55" i="4"/>
  <c r="W57" i="4"/>
  <c r="W58" i="4"/>
  <c r="W21" i="4"/>
  <c r="W28" i="4"/>
  <c r="W29" i="4"/>
  <c r="W35" i="4"/>
  <c r="W36" i="4"/>
  <c r="W37" i="4"/>
  <c r="W59" i="4"/>
  <c r="W60" i="4"/>
  <c r="W61" i="4"/>
  <c r="W62" i="4"/>
  <c r="W64" i="4"/>
  <c r="W65" i="4"/>
  <c r="W66" i="4"/>
  <c r="W67" i="4"/>
  <c r="W73" i="4"/>
  <c r="W18" i="4"/>
  <c r="W20" i="4"/>
  <c r="W22" i="4"/>
  <c r="W32" i="4"/>
  <c r="W33" i="4"/>
  <c r="W34" i="4"/>
  <c r="W76" i="4"/>
  <c r="W79" i="4"/>
  <c r="W80" i="4"/>
  <c r="U83" i="4"/>
  <c r="T88" i="4"/>
  <c r="D11" i="5"/>
  <c r="U7" i="4"/>
  <c r="U8" i="4"/>
  <c r="U9" i="4"/>
  <c r="U10" i="4"/>
  <c r="U11" i="4"/>
  <c r="U12" i="4"/>
  <c r="U13" i="4"/>
  <c r="U14" i="4"/>
  <c r="U15" i="4"/>
  <c r="U16" i="4"/>
  <c r="U23" i="4"/>
  <c r="U24" i="4"/>
  <c r="U25" i="4"/>
  <c r="U26" i="4"/>
  <c r="U17" i="4"/>
  <c r="U19" i="4"/>
  <c r="U21" i="4"/>
  <c r="U27" i="4"/>
  <c r="U30" i="4"/>
  <c r="U31" i="4"/>
  <c r="U39" i="4"/>
  <c r="U40" i="4"/>
  <c r="U41" i="4"/>
  <c r="U42" i="4"/>
  <c r="U43" i="4"/>
  <c r="U44" i="4"/>
  <c r="U45" i="4"/>
  <c r="U46" i="4"/>
  <c r="U47" i="4"/>
  <c r="U48" i="4"/>
  <c r="U49" i="4"/>
  <c r="U50" i="4"/>
  <c r="U51" i="4"/>
  <c r="U54" i="4"/>
  <c r="U55" i="4"/>
  <c r="U57" i="4"/>
  <c r="U58" i="4"/>
  <c r="U59" i="4"/>
  <c r="U28" i="4"/>
  <c r="U29" i="4"/>
  <c r="U35" i="4"/>
  <c r="U37" i="4"/>
  <c r="U60" i="4"/>
  <c r="U61" i="4"/>
  <c r="U62" i="4"/>
  <c r="U64" i="4"/>
  <c r="U65" i="4"/>
  <c r="U66" i="4"/>
  <c r="U67" i="4"/>
  <c r="U73" i="4"/>
  <c r="U18" i="4"/>
  <c r="U20" i="4"/>
  <c r="U22" i="4"/>
  <c r="U32" i="4"/>
  <c r="U33" i="4"/>
  <c r="U34" i="4"/>
  <c r="U36" i="4"/>
  <c r="U38" i="4"/>
  <c r="U76" i="4"/>
  <c r="U79" i="4"/>
  <c r="S83" i="4"/>
  <c r="R88" i="4"/>
  <c r="D7" i="5"/>
  <c r="S7" i="4"/>
  <c r="S8" i="4"/>
  <c r="S9" i="4"/>
  <c r="S10" i="4"/>
  <c r="S11" i="4"/>
  <c r="S12" i="4"/>
  <c r="S13" i="4"/>
  <c r="S14" i="4"/>
  <c r="S15" i="4"/>
  <c r="S16" i="4"/>
  <c r="S17" i="4"/>
  <c r="S23" i="4"/>
  <c r="S24" i="4"/>
  <c r="S25" i="4"/>
  <c r="S26" i="4"/>
  <c r="S19" i="4"/>
  <c r="S22" i="4"/>
  <c r="S27" i="4"/>
  <c r="S30" i="4"/>
  <c r="S39" i="4"/>
  <c r="S40" i="4"/>
  <c r="S41" i="4"/>
  <c r="S42" i="4"/>
  <c r="S43" i="4"/>
  <c r="S44" i="4"/>
  <c r="S45" i="4"/>
  <c r="S46" i="4"/>
  <c r="S47" i="4"/>
  <c r="S48" i="4"/>
  <c r="S49" i="4"/>
  <c r="S50" i="4"/>
  <c r="S55" i="4"/>
  <c r="S57" i="4"/>
  <c r="S58" i="4"/>
  <c r="S59" i="4"/>
  <c r="S21" i="4"/>
  <c r="S28" i="4"/>
  <c r="S29" i="4"/>
  <c r="S35" i="4"/>
  <c r="S36" i="4"/>
  <c r="S37" i="4"/>
  <c r="S38" i="4"/>
  <c r="S60" i="4"/>
  <c r="S61" i="4"/>
  <c r="S62" i="4"/>
  <c r="S64" i="4"/>
  <c r="S65" i="4"/>
  <c r="S66" i="4"/>
  <c r="S67" i="4"/>
  <c r="S73" i="4"/>
  <c r="S18" i="4"/>
  <c r="S20" i="4"/>
  <c r="S31" i="4"/>
  <c r="S32" i="4"/>
  <c r="S33" i="4"/>
  <c r="S34" i="4"/>
  <c r="S76" i="4"/>
  <c r="S79" i="4"/>
  <c r="Q83" i="4"/>
  <c r="P88" i="4"/>
  <c r="D9" i="5"/>
  <c r="Q7" i="4"/>
  <c r="Q8" i="4"/>
  <c r="Q9" i="4"/>
  <c r="Q10" i="4"/>
  <c r="Q11" i="4"/>
  <c r="Q12" i="4"/>
  <c r="Q13" i="4"/>
  <c r="Q14" i="4"/>
  <c r="Q15" i="4"/>
  <c r="Q16" i="4"/>
  <c r="Q23" i="4"/>
  <c r="Q24" i="4"/>
  <c r="Q25" i="4"/>
  <c r="Q26" i="4"/>
  <c r="Q17" i="4"/>
  <c r="Q18" i="4"/>
  <c r="Q19" i="4"/>
  <c r="Q21" i="4"/>
  <c r="Q27" i="4"/>
  <c r="Q38" i="4"/>
  <c r="Q39" i="4"/>
  <c r="Q40" i="4"/>
  <c r="Q41" i="4"/>
  <c r="Q42" i="4"/>
  <c r="Q43" i="4"/>
  <c r="Q44" i="4"/>
  <c r="Q45" i="4"/>
  <c r="Q46" i="4"/>
  <c r="Q47" i="4"/>
  <c r="Q48" i="4"/>
  <c r="Q49" i="4"/>
  <c r="Q50" i="4"/>
  <c r="Q55" i="4"/>
  <c r="Q57" i="4"/>
  <c r="Q58" i="4"/>
  <c r="Q59" i="4"/>
  <c r="Q28" i="4"/>
  <c r="Q29" i="4"/>
  <c r="Q30" i="4"/>
  <c r="Q32" i="4"/>
  <c r="Q35" i="4"/>
  <c r="Q37" i="4"/>
  <c r="Q60" i="4"/>
  <c r="Q61" i="4"/>
  <c r="Q62" i="4"/>
  <c r="Q64" i="4"/>
  <c r="Q65" i="4"/>
  <c r="Q66" i="4"/>
  <c r="Q67" i="4"/>
  <c r="Q73" i="4"/>
  <c r="Q20" i="4"/>
  <c r="Q22" i="4"/>
  <c r="Q31" i="4"/>
  <c r="Q33" i="4"/>
  <c r="Q34" i="4"/>
  <c r="Q36" i="4"/>
  <c r="Q76" i="4"/>
  <c r="Q79" i="4"/>
  <c r="Q81" i="4"/>
  <c r="O83" i="4"/>
  <c r="N88" i="4"/>
  <c r="D14" i="5"/>
  <c r="O7" i="4"/>
  <c r="O8" i="4"/>
  <c r="O9" i="4"/>
  <c r="O10" i="4"/>
  <c r="O11" i="4"/>
  <c r="O12" i="4"/>
  <c r="O13" i="4"/>
  <c r="O14" i="4"/>
  <c r="O15" i="4"/>
  <c r="O16" i="4"/>
  <c r="O17" i="4"/>
  <c r="O23" i="4"/>
  <c r="O24" i="4"/>
  <c r="O25" i="4"/>
  <c r="O26" i="4"/>
  <c r="O18" i="4"/>
  <c r="O22" i="4"/>
  <c r="O27" i="4"/>
  <c r="O30" i="4"/>
  <c r="O31" i="4"/>
  <c r="O39" i="4"/>
  <c r="O40" i="4"/>
  <c r="O41" i="4"/>
  <c r="O42" i="4"/>
  <c r="O43" i="4"/>
  <c r="O44" i="4"/>
  <c r="O45" i="4"/>
  <c r="O46" i="4"/>
  <c r="O47" i="4"/>
  <c r="O48" i="4"/>
  <c r="O49" i="4"/>
  <c r="O50" i="4"/>
  <c r="O52" i="4"/>
  <c r="O53" i="4"/>
  <c r="O55" i="4"/>
  <c r="O57" i="4"/>
  <c r="O58" i="4"/>
  <c r="O59" i="4"/>
  <c r="O19" i="4"/>
  <c r="O21" i="4"/>
  <c r="O28" i="4"/>
  <c r="O29" i="4"/>
  <c r="O32" i="4"/>
  <c r="O35" i="4"/>
  <c r="O36" i="4"/>
  <c r="O37" i="4"/>
  <c r="O60" i="4"/>
  <c r="O61" i="4"/>
  <c r="O62" i="4"/>
  <c r="O64" i="4"/>
  <c r="O65" i="4"/>
  <c r="O66" i="4"/>
  <c r="O67" i="4"/>
  <c r="O73" i="4"/>
  <c r="O20" i="4"/>
  <c r="O33" i="4"/>
  <c r="O34" i="4"/>
  <c r="O38" i="4"/>
  <c r="O75" i="4"/>
  <c r="O76" i="4"/>
  <c r="O79" i="4"/>
  <c r="M83" i="4"/>
  <c r="L88" i="4"/>
  <c r="D12" i="5"/>
  <c r="M7" i="4"/>
  <c r="M8" i="4"/>
  <c r="M9" i="4"/>
  <c r="M10" i="4"/>
  <c r="M11" i="4"/>
  <c r="M12" i="4"/>
  <c r="M13" i="4"/>
  <c r="M14" i="4"/>
  <c r="M15" i="4"/>
  <c r="M16" i="4"/>
  <c r="M17" i="4"/>
  <c r="M23" i="4"/>
  <c r="M24" i="4"/>
  <c r="M25" i="4"/>
  <c r="M26" i="4"/>
  <c r="M18" i="4"/>
  <c r="M19" i="4"/>
  <c r="M21" i="4"/>
  <c r="M27" i="4"/>
  <c r="M31" i="4"/>
  <c r="M36" i="4"/>
  <c r="M38" i="4"/>
  <c r="M39" i="4"/>
  <c r="M40" i="4"/>
  <c r="M41" i="4"/>
  <c r="M42" i="4"/>
  <c r="M43" i="4"/>
  <c r="M44" i="4"/>
  <c r="M45" i="4"/>
  <c r="M46" i="4"/>
  <c r="M47" i="4"/>
  <c r="M48" i="4"/>
  <c r="M49" i="4"/>
  <c r="M50" i="4"/>
  <c r="M52" i="4"/>
  <c r="M53" i="4"/>
  <c r="M55" i="4"/>
  <c r="M57" i="4"/>
  <c r="M58" i="4"/>
  <c r="M59" i="4"/>
  <c r="M28" i="4"/>
  <c r="M29" i="4"/>
  <c r="M30" i="4"/>
  <c r="M32" i="4"/>
  <c r="M35" i="4"/>
  <c r="M37" i="4"/>
  <c r="M60" i="4"/>
  <c r="M61" i="4"/>
  <c r="M62" i="4"/>
  <c r="M64" i="4"/>
  <c r="M65" i="4"/>
  <c r="M66" i="4"/>
  <c r="M67" i="4"/>
  <c r="M73" i="4"/>
  <c r="M20" i="4"/>
  <c r="M22" i="4"/>
  <c r="M33" i="4"/>
  <c r="M34" i="4"/>
  <c r="M75" i="4"/>
  <c r="M76" i="4"/>
  <c r="M79" i="4"/>
  <c r="K83" i="4"/>
  <c r="J88" i="4"/>
  <c r="D15" i="5"/>
  <c r="K7" i="4"/>
  <c r="K8" i="4"/>
  <c r="K9" i="4"/>
  <c r="K10" i="4"/>
  <c r="K11" i="4"/>
  <c r="K12" i="4"/>
  <c r="K13" i="4"/>
  <c r="K14" i="4"/>
  <c r="K15" i="4"/>
  <c r="K16" i="4"/>
  <c r="K17" i="4"/>
  <c r="K23" i="4"/>
  <c r="K24" i="4"/>
  <c r="K25" i="4"/>
  <c r="K26" i="4"/>
  <c r="K18" i="4"/>
  <c r="K22" i="4"/>
  <c r="K27" i="4"/>
  <c r="K30" i="4"/>
  <c r="K32" i="4"/>
  <c r="K34" i="4"/>
  <c r="K39" i="4"/>
  <c r="K40" i="4"/>
  <c r="K41" i="4"/>
  <c r="K42" i="4"/>
  <c r="K43" i="4"/>
  <c r="K45" i="4"/>
  <c r="K46" i="4"/>
  <c r="K47" i="4"/>
  <c r="K48" i="4"/>
  <c r="K49" i="4"/>
  <c r="K50" i="4"/>
  <c r="K52" i="4"/>
  <c r="K53" i="4"/>
  <c r="K55" i="4"/>
  <c r="K56" i="4"/>
  <c r="K57" i="4"/>
  <c r="K58" i="4"/>
  <c r="K59" i="4"/>
  <c r="K19" i="4"/>
  <c r="K20" i="4"/>
  <c r="K21" i="4"/>
  <c r="K28" i="4"/>
  <c r="K29" i="4"/>
  <c r="K35" i="4"/>
  <c r="K36" i="4"/>
  <c r="K60" i="4"/>
  <c r="K61" i="4"/>
  <c r="K62" i="4"/>
  <c r="K64" i="4"/>
  <c r="K65" i="4"/>
  <c r="K66" i="4"/>
  <c r="K67" i="4"/>
  <c r="K73" i="4"/>
  <c r="K31" i="4"/>
  <c r="K33" i="4"/>
  <c r="K37" i="4"/>
  <c r="K38" i="4"/>
  <c r="K74" i="4"/>
  <c r="K76" i="4"/>
  <c r="K79" i="4"/>
  <c r="I83" i="4"/>
  <c r="H88" i="4"/>
  <c r="D16" i="5"/>
  <c r="I7" i="4"/>
  <c r="I8" i="4"/>
  <c r="I9" i="4"/>
  <c r="I10" i="4"/>
  <c r="I11" i="4"/>
  <c r="I12" i="4"/>
  <c r="I13" i="4"/>
  <c r="I14" i="4"/>
  <c r="I15" i="4"/>
  <c r="I16" i="4"/>
  <c r="I17" i="4"/>
  <c r="I23" i="4"/>
  <c r="I24" i="4"/>
  <c r="I25" i="4"/>
  <c r="I26" i="4"/>
  <c r="I27" i="4"/>
  <c r="I18" i="4"/>
  <c r="I19" i="4"/>
  <c r="I21" i="4"/>
  <c r="I31" i="4"/>
  <c r="I35" i="4"/>
  <c r="I36" i="4"/>
  <c r="I38" i="4"/>
  <c r="I39" i="4"/>
  <c r="I40" i="4"/>
  <c r="I41" i="4"/>
  <c r="I42" i="4"/>
  <c r="I43" i="4"/>
  <c r="I45" i="4"/>
  <c r="I46" i="4"/>
  <c r="I47" i="4"/>
  <c r="I48" i="4"/>
  <c r="I49" i="4"/>
  <c r="I50" i="4"/>
  <c r="I52" i="4"/>
  <c r="I53" i="4"/>
  <c r="I55" i="4"/>
  <c r="I56" i="4"/>
  <c r="I57" i="4"/>
  <c r="I58" i="4"/>
  <c r="I59" i="4"/>
  <c r="I28" i="4"/>
  <c r="I29" i="4"/>
  <c r="I30" i="4"/>
  <c r="I32" i="4"/>
  <c r="I37" i="4"/>
  <c r="I60" i="4"/>
  <c r="I61" i="4"/>
  <c r="I62" i="4"/>
  <c r="I64" i="4"/>
  <c r="I65" i="4"/>
  <c r="I66" i="4"/>
  <c r="I67" i="4"/>
  <c r="I73" i="4"/>
  <c r="I20" i="4"/>
  <c r="I22" i="4"/>
  <c r="I33" i="4"/>
  <c r="I34" i="4"/>
  <c r="I74" i="4"/>
  <c r="I76" i="4"/>
  <c r="I79" i="4"/>
  <c r="G83" i="4"/>
  <c r="F88" i="4"/>
  <c r="D17" i="5"/>
  <c r="G7" i="4"/>
  <c r="G8" i="4"/>
  <c r="G9" i="4"/>
  <c r="G10" i="4"/>
  <c r="G11" i="4"/>
  <c r="G12" i="4"/>
  <c r="G13" i="4"/>
  <c r="G14" i="4"/>
  <c r="G15" i="4"/>
  <c r="G16" i="4"/>
  <c r="G17" i="4"/>
  <c r="G23" i="4"/>
  <c r="G24" i="4"/>
  <c r="G25" i="4"/>
  <c r="G26" i="4"/>
  <c r="G27" i="4"/>
  <c r="G18" i="4"/>
  <c r="G21" i="4"/>
  <c r="G22" i="4"/>
  <c r="G29" i="4"/>
  <c r="G32" i="4"/>
  <c r="G34" i="4"/>
  <c r="G39" i="4"/>
  <c r="G40" i="4"/>
  <c r="G41" i="4"/>
  <c r="G42" i="4"/>
  <c r="G43" i="4"/>
  <c r="G45" i="4"/>
  <c r="G46" i="4"/>
  <c r="G47" i="4"/>
  <c r="G48" i="4"/>
  <c r="G49" i="4"/>
  <c r="G50" i="4"/>
  <c r="G52" i="4"/>
  <c r="G53" i="4"/>
  <c r="G55" i="4"/>
  <c r="G56" i="4"/>
  <c r="G57" i="4"/>
  <c r="G58" i="4"/>
  <c r="G59" i="4"/>
  <c r="G19" i="4"/>
  <c r="G20" i="4"/>
  <c r="G28" i="4"/>
  <c r="G30" i="4"/>
  <c r="G35" i="4"/>
  <c r="G36" i="4"/>
  <c r="G38" i="4"/>
  <c r="G60" i="4"/>
  <c r="G61" i="4"/>
  <c r="G62" i="4"/>
  <c r="G64" i="4"/>
  <c r="G65" i="4"/>
  <c r="G66" i="4"/>
  <c r="G67" i="4"/>
  <c r="G73" i="4"/>
  <c r="G31" i="4"/>
  <c r="G33" i="4"/>
  <c r="G37" i="4"/>
  <c r="G74" i="4"/>
  <c r="G76" i="4"/>
  <c r="G79" i="4"/>
  <c r="E83" i="4"/>
  <c r="D88" i="4"/>
  <c r="D13" i="5"/>
  <c r="E7" i="4"/>
  <c r="E8" i="4"/>
  <c r="E9" i="4"/>
  <c r="E10" i="4"/>
  <c r="E11" i="4"/>
  <c r="E12" i="4"/>
  <c r="E13" i="4"/>
  <c r="E14" i="4"/>
  <c r="E15" i="4"/>
  <c r="E16" i="4"/>
  <c r="E17" i="4"/>
  <c r="E23" i="4"/>
  <c r="E24" i="4"/>
  <c r="E25" i="4"/>
  <c r="E26" i="4"/>
  <c r="E27" i="4"/>
  <c r="E18" i="4"/>
  <c r="E19" i="4"/>
  <c r="E22" i="4"/>
  <c r="E30" i="4"/>
  <c r="E31" i="4"/>
  <c r="E36" i="4"/>
  <c r="E39" i="4"/>
  <c r="E40" i="4"/>
  <c r="E41" i="4"/>
  <c r="E42" i="4"/>
  <c r="E43" i="4"/>
  <c r="E45" i="4"/>
  <c r="E46" i="4"/>
  <c r="E47" i="4"/>
  <c r="E48" i="4"/>
  <c r="E49" i="4"/>
  <c r="E50" i="4"/>
  <c r="E52" i="4"/>
  <c r="E53" i="4"/>
  <c r="E55" i="4"/>
  <c r="E56" i="4"/>
  <c r="E57" i="4"/>
  <c r="E58" i="4"/>
  <c r="E59" i="4"/>
  <c r="E20" i="4"/>
  <c r="E21" i="4"/>
  <c r="E28" i="4"/>
  <c r="E29" i="4"/>
  <c r="E32" i="4"/>
  <c r="E35" i="4"/>
  <c r="E37" i="4"/>
  <c r="E60" i="4"/>
  <c r="E61" i="4"/>
  <c r="E62" i="4"/>
  <c r="E64" i="4"/>
  <c r="E65" i="4"/>
  <c r="E66" i="4"/>
  <c r="E67" i="4"/>
  <c r="E73" i="4"/>
  <c r="E33" i="4"/>
  <c r="E34" i="4"/>
  <c r="E38" i="4"/>
  <c r="E74" i="4"/>
  <c r="E76" i="4"/>
  <c r="E79" i="4"/>
  <c r="B17" i="4"/>
  <c r="B29" i="4"/>
  <c r="B30" i="4"/>
  <c r="B22" i="4"/>
  <c r="B20" i="4"/>
  <c r="B21" i="4"/>
  <c r="B19" i="4"/>
  <c r="B18" i="4"/>
  <c r="B28" i="4"/>
  <c r="AB76" i="4"/>
  <c r="AB83" i="4" s="1"/>
  <c r="B75" i="4"/>
  <c r="B74" i="4"/>
  <c r="B36" i="4"/>
  <c r="B8" i="4"/>
  <c r="B7" i="4"/>
  <c r="B11" i="4"/>
  <c r="B12" i="4"/>
  <c r="B68" i="4"/>
  <c r="B13" i="4"/>
  <c r="B14" i="4"/>
  <c r="B15" i="4"/>
  <c r="B16" i="4"/>
  <c r="B26" i="4"/>
  <c r="B25" i="4"/>
  <c r="B24" i="4"/>
  <c r="B23" i="4"/>
  <c r="B61" i="4"/>
  <c r="B73" i="4"/>
  <c r="B72" i="4"/>
  <c r="B71" i="4"/>
  <c r="B70" i="4"/>
  <c r="B69" i="4"/>
  <c r="B67" i="4"/>
  <c r="B66" i="4"/>
  <c r="B65" i="4"/>
  <c r="B64" i="4"/>
  <c r="B63" i="4"/>
  <c r="B62" i="4"/>
  <c r="B32" i="4"/>
  <c r="B60" i="4"/>
  <c r="B35" i="4"/>
  <c r="B33" i="4"/>
  <c r="B34" i="4"/>
  <c r="B42" i="4"/>
  <c r="B37" i="4"/>
  <c r="B38" i="4"/>
  <c r="B39" i="4"/>
  <c r="B40" i="4"/>
  <c r="B41" i="4"/>
  <c r="B43" i="4"/>
  <c r="B44" i="4"/>
  <c r="B45" i="4"/>
  <c r="B46" i="4"/>
  <c r="B47" i="4"/>
  <c r="B48" i="4"/>
  <c r="B49" i="4"/>
  <c r="B50" i="4"/>
  <c r="B51" i="4"/>
  <c r="B52" i="4"/>
  <c r="B53" i="4"/>
  <c r="B54" i="4"/>
  <c r="B55" i="4"/>
  <c r="B56" i="4"/>
  <c r="B57" i="4"/>
  <c r="B58" i="4"/>
  <c r="B9" i="4"/>
  <c r="B10" i="4"/>
  <c r="G30" i="3"/>
  <c r="H20" i="3"/>
  <c r="F30" i="3"/>
  <c r="I20" i="3"/>
  <c r="H74" i="2"/>
  <c r="G91" i="2"/>
  <c r="I74" i="2"/>
  <c r="F91" i="2"/>
  <c r="G92" i="2"/>
  <c r="H71" i="2"/>
  <c r="I71" i="2"/>
  <c r="F92" i="2"/>
  <c r="I53" i="2"/>
  <c r="I52" i="2"/>
  <c r="I51" i="2"/>
  <c r="I50" i="2"/>
  <c r="I49" i="2"/>
  <c r="I48" i="2"/>
  <c r="I47" i="2"/>
  <c r="I46" i="2"/>
  <c r="G54" i="2"/>
  <c r="H36" i="2"/>
  <c r="I36" i="2"/>
  <c r="F54" i="2"/>
  <c r="G21" i="2"/>
  <c r="H17" i="2"/>
  <c r="F21" i="2"/>
  <c r="I17" i="2"/>
  <c r="G13" i="2"/>
  <c r="H95" i="1"/>
  <c r="F13" i="2"/>
  <c r="I95" i="1"/>
  <c r="H48" i="1"/>
  <c r="I48" i="1"/>
  <c r="H35" i="1"/>
  <c r="I35" i="1" s="1"/>
  <c r="H5" i="1"/>
  <c r="G16" i="1"/>
  <c r="I5" i="1"/>
  <c r="F16" i="1"/>
  <c r="I10" i="1"/>
  <c r="I65" i="1"/>
  <c r="I34" i="1"/>
  <c r="I30" i="1"/>
  <c r="D18" i="5" l="1"/>
  <c r="B6" i="5"/>
  <c r="F6" i="5"/>
  <c r="B10" i="5"/>
  <c r="F10" i="5"/>
  <c r="B8" i="5"/>
  <c r="F8" i="5"/>
  <c r="B11" i="5"/>
  <c r="F11" i="5"/>
  <c r="B7" i="5"/>
  <c r="F7" i="5"/>
  <c r="B9" i="5"/>
  <c r="F9" i="5"/>
  <c r="B14" i="5"/>
  <c r="F14" i="5"/>
  <c r="B12" i="5"/>
  <c r="F12" i="5"/>
  <c r="B15" i="5"/>
  <c r="F15" i="5"/>
  <c r="B16" i="5"/>
  <c r="F16" i="5"/>
  <c r="B17" i="5"/>
  <c r="F17" i="5"/>
  <c r="B13" i="5"/>
  <c r="AC83" i="4"/>
  <c r="AB88" i="4"/>
  <c r="AB91" i="4"/>
  <c r="AC7" i="4"/>
  <c r="AC8" i="4"/>
  <c r="AC9" i="4"/>
  <c r="AC10" i="4"/>
  <c r="AC11" i="4"/>
  <c r="AC12" i="4"/>
  <c r="AC13" i="4"/>
  <c r="AC14" i="4"/>
  <c r="AC15" i="4"/>
  <c r="AC16" i="4"/>
  <c r="AC17" i="4"/>
  <c r="AC22" i="4"/>
  <c r="AC23" i="4"/>
  <c r="AC24" i="4"/>
  <c r="AC25" i="4"/>
  <c r="AC26" i="4"/>
  <c r="AC21" i="4"/>
  <c r="AC34" i="4"/>
  <c r="AC38" i="4"/>
  <c r="AC39" i="4"/>
  <c r="AC40" i="4"/>
  <c r="AC41" i="4"/>
  <c r="AC42" i="4"/>
  <c r="AC43" i="4"/>
  <c r="AC44" i="4"/>
  <c r="AC45" i="4"/>
  <c r="AC46" i="4"/>
  <c r="AC47" i="4"/>
  <c r="AC48" i="4"/>
  <c r="AC49" i="4"/>
  <c r="AC50" i="4"/>
  <c r="AC51" i="4"/>
  <c r="AC52" i="4"/>
  <c r="AC53" i="4"/>
  <c r="AC54" i="4"/>
  <c r="AC55" i="4"/>
  <c r="AC56" i="4"/>
  <c r="AC57" i="4"/>
  <c r="AC58" i="4"/>
  <c r="AC19" i="4"/>
  <c r="AC20" i="4"/>
  <c r="AC28" i="4"/>
  <c r="AC29" i="4"/>
  <c r="AC31" i="4"/>
  <c r="AC35" i="4"/>
  <c r="AC36" i="4"/>
  <c r="AC37" i="4"/>
  <c r="AC60" i="4"/>
  <c r="AC61" i="4"/>
  <c r="AC62" i="4"/>
  <c r="AC63" i="4"/>
  <c r="AC64" i="4"/>
  <c r="AC65" i="4"/>
  <c r="AC66" i="4"/>
  <c r="AC67" i="4"/>
  <c r="AC68" i="4"/>
  <c r="AC69" i="4"/>
  <c r="AC70" i="4"/>
  <c r="AC71" i="4"/>
  <c r="AC72" i="4"/>
  <c r="AC73" i="4"/>
  <c r="AC18" i="4"/>
  <c r="AC27" i="4"/>
  <c r="AC30" i="4"/>
  <c r="AC32" i="4"/>
  <c r="AC33" i="4"/>
  <c r="AC59" i="4"/>
  <c r="AC74" i="4"/>
  <c r="AC75" i="4"/>
  <c r="AC76" i="4"/>
  <c r="AC79" i="4"/>
  <c r="AC80" i="4"/>
  <c r="AC81" i="4"/>
  <c r="H30" i="3"/>
  <c r="G53" i="3"/>
  <c r="G38" i="1"/>
  <c r="I30" i="3"/>
  <c r="F53" i="3"/>
  <c r="F38" i="1"/>
  <c r="H54" i="2"/>
  <c r="G93" i="2"/>
  <c r="H93" i="2" s="1"/>
  <c r="I54" i="2"/>
  <c r="F93" i="2"/>
  <c r="I93" i="2" s="1"/>
  <c r="H16" i="1"/>
  <c r="I16" i="1"/>
  <c r="H21" i="2"/>
  <c r="I21" i="2" s="1"/>
  <c r="H13" i="2"/>
  <c r="I13" i="2" s="1"/>
  <c r="H91" i="2"/>
  <c r="I91" i="2" s="1"/>
  <c r="H92" i="2"/>
  <c r="I92" i="2" s="1"/>
  <c r="E6" i="5" l="1"/>
  <c r="E7" i="5"/>
  <c r="E8" i="5"/>
  <c r="E9" i="5"/>
  <c r="E10" i="5"/>
  <c r="E11" i="5"/>
  <c r="E12" i="5"/>
  <c r="E13" i="5"/>
  <c r="E14" i="5"/>
  <c r="E15" i="5"/>
  <c r="E16" i="5"/>
  <c r="E17" i="5"/>
  <c r="H53" i="3"/>
  <c r="G26" i="1"/>
  <c r="I53" i="3"/>
  <c r="F26" i="1"/>
  <c r="H38" i="1"/>
  <c r="I38" i="1" s="1"/>
  <c r="G76" i="1" l="1"/>
  <c r="H26" i="1"/>
  <c r="F76" i="1"/>
  <c r="I26" i="1"/>
  <c r="E18" i="5"/>
  <c r="G86" i="1" l="1"/>
  <c r="H76" i="1"/>
  <c r="I76" i="1" s="1"/>
  <c r="F86" i="1"/>
  <c r="H86" i="1" l="1"/>
  <c r="G91" i="1"/>
  <c r="I86" i="1"/>
  <c r="F91" i="1"/>
  <c r="H91" i="1" l="1"/>
  <c r="I91" i="1" s="1"/>
  <c r="G96" i="1"/>
  <c r="H96" i="1" s="1"/>
  <c r="G10" i="2"/>
  <c r="G12" i="2"/>
  <c r="H12" i="2" s="1"/>
  <c r="F96" i="1"/>
  <c r="F10" i="2"/>
  <c r="F12" i="2"/>
  <c r="G14" i="2" l="1"/>
  <c r="H10" i="2"/>
  <c r="I10" i="2"/>
  <c r="F14" i="2"/>
  <c r="I96" i="1"/>
  <c r="I12" i="2"/>
  <c r="H14" i="2" l="1"/>
  <c r="G22" i="2"/>
  <c r="F22" i="2"/>
  <c r="I14" i="2"/>
  <c r="H22" i="2" l="1"/>
  <c r="I2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6" authorId="0" shapeId="0" xr:uid="{00000000-0006-0000-0100-000001000000}">
      <text>
        <r>
          <rPr>
            <sz val="11"/>
            <rFont val="Carlito"/>
          </rPr>
          <t>2025 operational explanations: Admin A.R.xlsx, Analytical Review- Establishment Expenses.xlsx, and Analytical review and GP Margin (1).xlsx. Financial balances and asset roll-forwards use the supplied final accounts. PAR (1).xlsx compares 2024 with 2023 and was not used as evidence of 2025 operational changes.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6" authorId="0" shapeId="0" xr:uid="{00000000-0006-0000-0200-000001000000}">
      <text>
        <r>
          <rPr>
            <sz val="11"/>
            <rFont val="Carlito"/>
          </rPr>
          <t>2025 operational explanations: Admin A.R.xlsx, Analytical Review- Establishment Expenses.xlsx, and Analytical review and GP Margin (1).xlsx. Financial balances and asset roll-forwards use the supplied final accounts. PAR (1).xlsx compares 2024 with 2023 and was not used as evidence of 2025 operational changes.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87" authorId="0" shapeId="0" xr:uid="{00000000-0006-0000-0300-000001000000}">
      <text>
        <r>
          <rPr>
            <sz val="11"/>
            <rFont val="Carlito"/>
          </rPr>
          <t>Source: Monthly branch wise Sales Report Jan-Dec 2025, 'Jan'!BJ16, Total - Sales.</t>
        </r>
      </text>
    </comment>
    <comment ref="F87" authorId="0" shapeId="0" xr:uid="{00000000-0006-0000-0300-000002000000}">
      <text>
        <r>
          <rPr>
            <sz val="11"/>
            <rFont val="Carlito"/>
          </rPr>
          <t>Source: Monthly branch wise Sales Report Jan-Dec 2025, 'Feb'!BJ16, Total - Sales.</t>
        </r>
      </text>
    </comment>
    <comment ref="H87" authorId="0" shapeId="0" xr:uid="{00000000-0006-0000-0300-000003000000}">
      <text>
        <r>
          <rPr>
            <sz val="11"/>
            <rFont val="Carlito"/>
          </rPr>
          <t>Source: Monthly branch wise Sales Report Jan-Dec 2025, 'Mar'!BJ16, Total - Sales.</t>
        </r>
      </text>
    </comment>
    <comment ref="J87" authorId="0" shapeId="0" xr:uid="{00000000-0006-0000-0300-000004000000}">
      <text>
        <r>
          <rPr>
            <sz val="11"/>
            <rFont val="Carlito"/>
          </rPr>
          <t>Source: Monthly branch wise Sales Report Jan-Dec 2025, 'April'!BJ16, Total - Sales.</t>
        </r>
      </text>
    </comment>
    <comment ref="L87" authorId="0" shapeId="0" xr:uid="{00000000-0006-0000-0300-000005000000}">
      <text>
        <r>
          <rPr>
            <sz val="11"/>
            <rFont val="Carlito"/>
          </rPr>
          <t>Source: Monthly branch wise Sales Report Jan-Dec 2025, 'May'!BJ16, Total - Sales.</t>
        </r>
      </text>
    </comment>
    <comment ref="N87" authorId="0" shapeId="0" xr:uid="{00000000-0006-0000-0300-000006000000}">
      <text>
        <r>
          <rPr>
            <sz val="11"/>
            <rFont val="Carlito"/>
          </rPr>
          <t>Source: Monthly branch wise Sales Report Jan-Dec 2025, 'June'!BJ16, Total - Sales.</t>
        </r>
      </text>
    </comment>
    <comment ref="P87" authorId="0" shapeId="0" xr:uid="{00000000-0006-0000-0300-000007000000}">
      <text>
        <r>
          <rPr>
            <sz val="11"/>
            <rFont val="Carlito"/>
          </rPr>
          <t>Source: Monthly branch wise Sales Report Jan-Dec 2025, 'July'!BH16, Total - Sales.</t>
        </r>
      </text>
    </comment>
    <comment ref="R87" authorId="0" shapeId="0" xr:uid="{00000000-0006-0000-0300-000008000000}">
      <text>
        <r>
          <rPr>
            <sz val="11"/>
            <rFont val="Carlito"/>
          </rPr>
          <t>Source: Monthly branch wise Sales Report Jan-Dec 2025, 'Aug'!BG16, Total - Sales.</t>
        </r>
      </text>
    </comment>
    <comment ref="T87" authorId="0" shapeId="0" xr:uid="{00000000-0006-0000-0300-000009000000}">
      <text>
        <r>
          <rPr>
            <sz val="11"/>
            <rFont val="Carlito"/>
          </rPr>
          <t>Source: Monthly branch wise Sales Report Jan-Dec 2025, 'Sept'!BI16, Total - Sales.</t>
        </r>
      </text>
    </comment>
    <comment ref="V87" authorId="0" shapeId="0" xr:uid="{00000000-0006-0000-0300-00000A000000}">
      <text>
        <r>
          <rPr>
            <sz val="11"/>
            <rFont val="Carlito"/>
          </rPr>
          <t>Source: Monthly branch wise Sales Report Jan-Dec 2025, 'Oct'!BJ16, Total - Sales.</t>
        </r>
      </text>
    </comment>
    <comment ref="X87" authorId="0" shapeId="0" xr:uid="{00000000-0006-0000-0300-00000B000000}">
      <text>
        <r>
          <rPr>
            <sz val="11"/>
            <rFont val="Carlito"/>
          </rPr>
          <t>Source: Monthly branch wise Sales Report Jan-Dec 2025, 'Nov'!BH16, Total - Sales.</t>
        </r>
      </text>
    </comment>
    <comment ref="Z87" authorId="0" shapeId="0" xr:uid="{00000000-0006-0000-0300-00000C000000}">
      <text>
        <r>
          <rPr>
            <sz val="11"/>
            <rFont val="Carlito"/>
          </rPr>
          <t>Source: Monthly branch wise Sales Report Jan-Dec 2025, 'Dec'!BM17, Total - Sales.</t>
        </r>
      </text>
    </comment>
    <comment ref="AB87" authorId="0" shapeId="0" xr:uid="{00000000-0006-0000-0300-00000D000000}">
      <text>
        <r>
          <rPr>
            <sz val="11"/>
            <rFont val="Carlito"/>
          </rPr>
          <t>Source: Monthly branch wise Sales Report Jan-Dec 2025, 'Jan-Dec 2025'!BT17, Total - Sales.</t>
        </r>
      </text>
    </comment>
  </commentList>
</comments>
</file>

<file path=xl/sharedStrings.xml><?xml version="1.0" encoding="utf-8"?>
<sst xmlns="http://schemas.openxmlformats.org/spreadsheetml/2006/main" count="613" uniqueCount="483">
  <si>
    <t>Demo Café Group</t>
  </si>
  <si>
    <t>Account / breakdown</t>
  </si>
  <si>
    <t>2024</t>
  </si>
  <si>
    <t>2025</t>
  </si>
  <si>
    <t>Variance</t>
  </si>
  <si>
    <t>Variance %</t>
  </si>
  <si>
    <t>Rank</t>
  </si>
  <si>
    <t>Branch</t>
  </si>
  <si>
    <t>January sales</t>
  </si>
  <si>
    <t>January %</t>
  </si>
  <si>
    <t>February sales</t>
  </si>
  <si>
    <t>February %</t>
  </si>
  <si>
    <t>March sales</t>
  </si>
  <si>
    <t>March %</t>
  </si>
  <si>
    <t>April sales</t>
  </si>
  <si>
    <t>April %</t>
  </si>
  <si>
    <t>May sales</t>
  </si>
  <si>
    <t>May %</t>
  </si>
  <si>
    <t>June sales</t>
  </si>
  <si>
    <t>June %</t>
  </si>
  <si>
    <t>July sales</t>
  </si>
  <si>
    <t>July %</t>
  </si>
  <si>
    <t>August sales</t>
  </si>
  <si>
    <t>August %</t>
  </si>
  <si>
    <t>September sales</t>
  </si>
  <si>
    <t>September %</t>
  </si>
  <si>
    <t>October sales</t>
  </si>
  <si>
    <t>October %</t>
  </si>
  <si>
    <t>November sales</t>
  </si>
  <si>
    <t>November %</t>
  </si>
  <si>
    <t>December sales</t>
  </si>
  <si>
    <t>December %</t>
  </si>
  <si>
    <t>Total sales 2025</t>
  </si>
  <si>
    <t>% of annual sales</t>
  </si>
  <si>
    <t>All branches</t>
  </si>
  <si>
    <t>Other reported units (excluded from branch ranking)</t>
  </si>
  <si>
    <t>Special orders</t>
  </si>
  <si>
    <t>Central production</t>
  </si>
  <si>
    <t>Head office</t>
  </si>
  <si>
    <t>Company total</t>
  </si>
  <si>
    <t>Report total</t>
  </si>
  <si>
    <t>Difference</t>
  </si>
  <si>
    <t>Detailed 2025 P&amp;L revenue converted from KSh thousands to KSh</t>
  </si>
  <si>
    <t>Sales report less detailed P&amp;L revenue (KSh)</t>
  </si>
  <si>
    <t>The small difference to the detailed P&amp;L is retained. Source figures have not been adjusted to force agreement.</t>
  </si>
  <si>
    <t>Rows are sorted by the supplied 2025 totals. After editing amounts, re-sort Total sales 2025 from largest to smallest.</t>
  </si>
  <si>
    <t>Month</t>
  </si>
  <si>
    <t>Sales (KSh)</t>
  </si>
  <si>
    <t>Month-on-month %</t>
  </si>
  <si>
    <t>December</t>
  </si>
  <si>
    <t>August</t>
  </si>
  <si>
    <t>October</t>
  </si>
  <si>
    <t>July</t>
  </si>
  <si>
    <t>November</t>
  </si>
  <si>
    <t>September</t>
  </si>
  <si>
    <t>May</t>
  </si>
  <si>
    <t>January</t>
  </si>
  <si>
    <t>June</t>
  </si>
  <si>
    <t>April</t>
  </si>
  <si>
    <t>March</t>
  </si>
  <si>
    <t>February</t>
  </si>
  <si>
    <t>Full year</t>
  </si>
  <si>
    <t>Profit and loss (KSh '000)</t>
  </si>
  <si>
    <t>Remarks</t>
  </si>
  <si>
    <t>Revenue</t>
  </si>
  <si>
    <t>Revenue from sale of food</t>
  </si>
  <si>
    <t>Revenue from sale of beverages</t>
  </si>
  <si>
    <t>Revenue from sale of other items</t>
  </si>
  <si>
    <t>Cost of sales</t>
  </si>
  <si>
    <t>Food costs</t>
  </si>
  <si>
    <t>Lighting, water and heating</t>
  </si>
  <si>
    <t>Depreciation - kitchen equipment</t>
  </si>
  <si>
    <t>Packaging materials</t>
  </si>
  <si>
    <t>Salaries</t>
  </si>
  <si>
    <t>Gross profit</t>
  </si>
  <si>
    <t>Other operating income</t>
  </si>
  <si>
    <t>Interest income</t>
  </si>
  <si>
    <t>Other income</t>
  </si>
  <si>
    <t>Sales and marketing expenses</t>
  </si>
  <si>
    <t>Advertising costs</t>
  </si>
  <si>
    <t>Delivery costs</t>
  </si>
  <si>
    <t>Administrative expenses</t>
  </si>
  <si>
    <t>Employment</t>
  </si>
  <si>
    <t>Salaries and wages</t>
  </si>
  <si>
    <t>Salaries excluding NSSF</t>
  </si>
  <si>
    <t>National Social Security Fund</t>
  </si>
  <si>
    <t>Staff welfare</t>
  </si>
  <si>
    <t>Staff uniform</t>
  </si>
  <si>
    <t>Staff transport</t>
  </si>
  <si>
    <t>Work permit expenses</t>
  </si>
  <si>
    <t>Net change in provision for leave</t>
  </si>
  <si>
    <t>Provision for gratuity</t>
  </si>
  <si>
    <t>Gratuity interest cost</t>
  </si>
  <si>
    <t>Total employment costs</t>
  </si>
  <si>
    <t>Other administration expenses</t>
  </si>
  <si>
    <t>Directors remuneration</t>
  </si>
  <si>
    <t>Directors expenses</t>
  </si>
  <si>
    <t>Legal and professional fees</t>
  </si>
  <si>
    <t>Auditors remuneration</t>
  </si>
  <si>
    <t>Current year</t>
  </si>
  <si>
    <t>Postages, telephones and internet</t>
  </si>
  <si>
    <t>Printing and stationery</t>
  </si>
  <si>
    <t>Café decoration</t>
  </si>
  <si>
    <t>Motor vehicle running expenses</t>
  </si>
  <si>
    <t>Travelling and transport</t>
  </si>
  <si>
    <t>Entertainment expenses</t>
  </si>
  <si>
    <t>Bad debts / recoveries</t>
  </si>
  <si>
    <t>Cash sale shortages / surpluses</t>
  </si>
  <si>
    <t>Expected credit loss provision / reversal</t>
  </si>
  <si>
    <t>Bank charges and commissions</t>
  </si>
  <si>
    <t>Penalties</t>
  </si>
  <si>
    <t>Miscellaneous expenses</t>
  </si>
  <si>
    <t>Exchange differences - realised</t>
  </si>
  <si>
    <t>Exchange differences - unrealised</t>
  </si>
  <si>
    <t>Total other administrative expenses</t>
  </si>
  <si>
    <t>Other operating expenses</t>
  </si>
  <si>
    <t>Commercial rent</t>
  </si>
  <si>
    <t>Discount on rent concessions</t>
  </si>
  <si>
    <t>Repairs and maintenance</t>
  </si>
  <si>
    <t>Licences</t>
  </si>
  <si>
    <t>Insurance expenses</t>
  </si>
  <si>
    <t>Security</t>
  </si>
  <si>
    <t>Cleaning expenses</t>
  </si>
  <si>
    <t>Loss / gain on disposal of property and equipment</t>
  </si>
  <si>
    <t>Gain on lease termination</t>
  </si>
  <si>
    <t>Impairment of acquired trademarks</t>
  </si>
  <si>
    <t>Amortisation of intangible assets</t>
  </si>
  <si>
    <t>Depreciation of right-of-use assets</t>
  </si>
  <si>
    <t>Depreciation of property, plant and equipment</t>
  </si>
  <si>
    <t>Operating profit</t>
  </si>
  <si>
    <t>Finance costs</t>
  </si>
  <si>
    <t>Bank overdraft interest</t>
  </si>
  <si>
    <t>Loan interest</t>
  </si>
  <si>
    <t>Other interest</t>
  </si>
  <si>
    <t>Lease liability interest</t>
  </si>
  <si>
    <t>Penalties and interest</t>
  </si>
  <si>
    <t>Loss before tax</t>
  </si>
  <si>
    <t>Tax charge</t>
  </si>
  <si>
    <t>Current year tax charge</t>
  </si>
  <si>
    <t>Deferred tax charge / credit</t>
  </si>
  <si>
    <t>Loss for the year</t>
  </si>
  <si>
    <t>OTHER COMPREHENSIVE INCOME</t>
  </si>
  <si>
    <t>Re-measurement of staff gratuity</t>
  </si>
  <si>
    <t>Other comprehensive loss</t>
  </si>
  <si>
    <t>Total comprehensive loss</t>
  </si>
  <si>
    <t>Balance sheet (KSh '000)</t>
  </si>
  <si>
    <t>CAPITAL EMPLOYED</t>
  </si>
  <si>
    <t>Share capital</t>
  </si>
  <si>
    <t>Preference share capital - nominal</t>
  </si>
  <si>
    <t>Preference share capital - premium</t>
  </si>
  <si>
    <t>Shareholders funds awaiting allotment</t>
  </si>
  <si>
    <t>Accumulated deficit</t>
  </si>
  <si>
    <t>Accumulated deficit at start of year</t>
  </si>
  <si>
    <t>Shareholders deficit</t>
  </si>
  <si>
    <t>Non-current liabilities</t>
  </si>
  <si>
    <t>Borrowings</t>
  </si>
  <si>
    <t>Term loans</t>
  </si>
  <si>
    <t>Finance lease</t>
  </si>
  <si>
    <t>Lease liabilities</t>
  </si>
  <si>
    <t>Total non-current liabilities</t>
  </si>
  <si>
    <t>Total capital employed</t>
  </si>
  <si>
    <t>REPRESENTED BY</t>
  </si>
  <si>
    <t>Non-current assets</t>
  </si>
  <si>
    <t>Property, plant and equipment</t>
  </si>
  <si>
    <t>Leasehold improvements</t>
  </si>
  <si>
    <t>Buildings</t>
  </si>
  <si>
    <t>Motor vehicles</t>
  </si>
  <si>
    <t>Furniture, fittings and equipment</t>
  </si>
  <si>
    <t>Computer equipment</t>
  </si>
  <si>
    <t>Kitchen equipment</t>
  </si>
  <si>
    <t>Communications and office equipment</t>
  </si>
  <si>
    <t>Cutlery</t>
  </si>
  <si>
    <t>Capital work in progress</t>
  </si>
  <si>
    <t>Right-of-use assets</t>
  </si>
  <si>
    <t>Cost at year end</t>
  </si>
  <si>
    <t>Less: accumulated depreciation</t>
  </si>
  <si>
    <t>Intangible assets - computer software</t>
  </si>
  <si>
    <t>Less: accumulated amortisation</t>
  </si>
  <si>
    <t>Intangible assets - acquired trademarks</t>
  </si>
  <si>
    <t>Carrying amount at start of year</t>
  </si>
  <si>
    <t>Impairment during the year</t>
  </si>
  <si>
    <t>Deferred tax</t>
  </si>
  <si>
    <t>Property and equipment</t>
  </si>
  <si>
    <t>Leave provision</t>
  </si>
  <si>
    <t>Bad debts provision</t>
  </si>
  <si>
    <t>Gratuity provision</t>
  </si>
  <si>
    <t>Right-of-use asset differences</t>
  </si>
  <si>
    <t>Foreign exchange differences</t>
  </si>
  <si>
    <t>Tax losses</t>
  </si>
  <si>
    <t>Offset for deferred tax assets not recognised</t>
  </si>
  <si>
    <t>Total non-current assets</t>
  </si>
  <si>
    <t>Current assets</t>
  </si>
  <si>
    <t>Inventories</t>
  </si>
  <si>
    <t>Food, beverages and tobacco</t>
  </si>
  <si>
    <t>Cleaning materials</t>
  </si>
  <si>
    <t>Packaging, staff uniforms and stationery</t>
  </si>
  <si>
    <t>Spare parts</t>
  </si>
  <si>
    <t>Trade and other receivables</t>
  </si>
  <si>
    <t>Trade receivables</t>
  </si>
  <si>
    <t>Prepayments</t>
  </si>
  <si>
    <t>Deposits</t>
  </si>
  <si>
    <t>Other receivables</t>
  </si>
  <si>
    <t>Receivables from directors</t>
  </si>
  <si>
    <t>Less: expected credit loss provision</t>
  </si>
  <si>
    <t>Cash at bank and in hand</t>
  </si>
  <si>
    <t>Tax recoverable</t>
  </si>
  <si>
    <t>Total current assets</t>
  </si>
  <si>
    <t>Current liabilities</t>
  </si>
  <si>
    <t>Bank overdraft</t>
  </si>
  <si>
    <t>Trade and other payables</t>
  </si>
  <si>
    <t>Trade payables</t>
  </si>
  <si>
    <t>Grants</t>
  </si>
  <si>
    <t>Accruals</t>
  </si>
  <si>
    <t>Other payables</t>
  </si>
  <si>
    <t>Payable to related parties</t>
  </si>
  <si>
    <t>Opening benefit obligation</t>
  </si>
  <si>
    <t>Current service cost</t>
  </si>
  <si>
    <t>Interest cost</t>
  </si>
  <si>
    <t>Actuarial loss</t>
  </si>
  <si>
    <t>Benefits and expenses paid</t>
  </si>
  <si>
    <t>Total current liabilities</t>
  </si>
  <si>
    <t>Net current liabilities</t>
  </si>
  <si>
    <t>Net assets / liabilities</t>
  </si>
  <si>
    <t>Schedule of expenses (KSh '000)</t>
  </si>
  <si>
    <t>1. COST OF SALES</t>
  </si>
  <si>
    <t>Total cost of sales</t>
  </si>
  <si>
    <t>2. SALES AND MARKETING EXPENSES</t>
  </si>
  <si>
    <t>Total sales and marketing expenses</t>
  </si>
  <si>
    <t>3. ADMINISTRATIVE EXPENSES</t>
  </si>
  <si>
    <t>Total administrative expenses</t>
  </si>
  <si>
    <t>4. OTHER OPERATING EXPENSES</t>
  </si>
  <si>
    <t>Total other operating expenses</t>
  </si>
  <si>
    <t>Branch sales (KSh)</t>
  </si>
  <si>
    <t>Branch 1</t>
  </si>
  <si>
    <t>Branch 2</t>
  </si>
  <si>
    <t>Branch 3</t>
  </si>
  <si>
    <t>Branch 4</t>
  </si>
  <si>
    <t>Branch 5</t>
  </si>
  <si>
    <t>Branch 6</t>
  </si>
  <si>
    <t>Branch 7</t>
  </si>
  <si>
    <t>Branch 8</t>
  </si>
  <si>
    <t>Branch 9</t>
  </si>
  <si>
    <t>Branch 10</t>
  </si>
  <si>
    <t>Branch 11</t>
  </si>
  <si>
    <t>Branch 12</t>
  </si>
  <si>
    <t>Branch 13</t>
  </si>
  <si>
    <t>Branch 14</t>
  </si>
  <si>
    <t>Branch 15</t>
  </si>
  <si>
    <t>Branch 16</t>
  </si>
  <si>
    <t>Branch 17</t>
  </si>
  <si>
    <t>Branch 18</t>
  </si>
  <si>
    <t>Branch 19</t>
  </si>
  <si>
    <t>Branch 20</t>
  </si>
  <si>
    <t>Branch 21</t>
  </si>
  <si>
    <t>Branch 22</t>
  </si>
  <si>
    <t>Branch 23</t>
  </si>
  <si>
    <t>Branch 24</t>
  </si>
  <si>
    <t>Branch 25</t>
  </si>
  <si>
    <t>Branch 26</t>
  </si>
  <si>
    <t>Branch 27</t>
  </si>
  <si>
    <t>Branch 28</t>
  </si>
  <si>
    <t>Branch 29</t>
  </si>
  <si>
    <t>Branch 30</t>
  </si>
  <si>
    <t>Branch 31</t>
  </si>
  <si>
    <t>Branch 32</t>
  </si>
  <si>
    <t>Branch 33</t>
  </si>
  <si>
    <t>Branch 34</t>
  </si>
  <si>
    <t>Branch 35</t>
  </si>
  <si>
    <t>Branch 36</t>
  </si>
  <si>
    <t>Branch 37</t>
  </si>
  <si>
    <t>Branch 38</t>
  </si>
  <si>
    <t>Branch 39</t>
  </si>
  <si>
    <t>Branch 40</t>
  </si>
  <si>
    <t>Branch 41</t>
  </si>
  <si>
    <t>Branch 42</t>
  </si>
  <si>
    <t>Branch 43</t>
  </si>
  <si>
    <t>Branch 44</t>
  </si>
  <si>
    <t>Branch 45</t>
  </si>
  <si>
    <t>Branch 46</t>
  </si>
  <si>
    <t>Branch 47</t>
  </si>
  <si>
    <t>Branch 48</t>
  </si>
  <si>
    <t>Branch 49</t>
  </si>
  <si>
    <t>Branch 50</t>
  </si>
  <si>
    <t>Branch 51</t>
  </si>
  <si>
    <t>Branch 52</t>
  </si>
  <si>
    <t>Branch 53</t>
  </si>
  <si>
    <t>Branch 54</t>
  </si>
  <si>
    <t>Branch 55</t>
  </si>
  <si>
    <t>Branch 56</t>
  </si>
  <si>
    <t>Branch 57</t>
  </si>
  <si>
    <t>Branch 58</t>
  </si>
  <si>
    <t>Branch 59</t>
  </si>
  <si>
    <t>Branch 60</t>
  </si>
  <si>
    <t>Branch 61</t>
  </si>
  <si>
    <t>Branch 62</t>
  </si>
  <si>
    <t>Branch 63</t>
  </si>
  <si>
    <t>Branch 64</t>
  </si>
  <si>
    <t>Branch 65</t>
  </si>
  <si>
    <t>Branch 66</t>
  </si>
  <si>
    <t>Branch 67</t>
  </si>
  <si>
    <t>Branch 68</t>
  </si>
  <si>
    <t>Branch 69</t>
  </si>
  <si>
    <t>Monthly sales ranking</t>
  </si>
  <si>
    <t>Revenue increased by KSh 292.539m (7.2%) compared with 2024. Beverage sales contributed KSh 208.683m of the KSh 292.539m growth, while food-related sales added KSh 78.671m. The wider outlet network and a strong December trading period supported the increase.</t>
  </si>
  <si>
    <t>Revenue from sale of food increased by KSh 78.671m (2.9%) compared with 2024. The increase is consistent with a larger trading network, although growth was modest relative to total revenue. Food-related sales therefore contributed less to overall growth than beverages.</t>
  </si>
  <si>
    <t>Revenue from sale of beverages increased by KSh 208.683m (16.1%) compared with 2024. This was the main revenue growth driver, contributing about 71% of the total increase. The movement is consistent with higher beverage volumes across the expanded restaurant network.</t>
  </si>
  <si>
    <t>Revenue from sale of other items increased by KSh 5.185m (62.8%) compared with 2024. The increase came from a small base and includes tobacco and other ancillary sales. Reclassification between food, beverage and other revenue categories may also affect the year-on-year comparison.</t>
  </si>
  <si>
    <t>Cost of sales increased by KSh 41.797m (2.1%) compared with 2024. Food costs and production salaries increased by KSh 35.941m and KSh 21.155m respectively. These increases were partly offset by lower utilities, packaging and kitchen-equipment depreciation.</t>
  </si>
  <si>
    <t>Food costs increased by KSh 35.941m (2.5%) compared with 2024. The movement reflects higher consumption as sales and the outlet network expanded. Costs grew more slowly than revenue, improving food-cost absorption during the year.</t>
  </si>
  <si>
    <t>Lighting, water and heating decreased by KSh 7.401m (3.2%) compared with 2024. Utility costs reduced despite higher sales, indicating improved consumption or tariff management. The cost represented a lower proportion of revenue than in 2024.</t>
  </si>
  <si>
    <t>Depreciation - kitchen equipment decreased by KSh 2.794m (6.1%) compared with 2024. The lower charge is consistent with disposals and the changing age profile of kitchen assets. Current-year additions partly offset the reduction in the depreciable base.</t>
  </si>
  <si>
    <t>Packaging materials decreased by KSh 5.104m (6.1%) compared with 2024. Packaging costs fell despite revenue growth, suggesting better purchasing, stock control or lower packaging intensity. This provided a favourable offset within cost of sales.</t>
  </si>
  <si>
    <t>Salaries increased by KSh 21.155m (10.4%) compared with 2024. Production payroll rose as the business operated a broader outlet network. The increase was above food-sales growth, indicating a higher staffing run rate during the year.</t>
  </si>
  <si>
    <t>Gross profit increased by KSh 250.742m (12.4%) compared with 2024. Revenue grew by KSh 292.539m while cost of sales increased by only KSh 41.797m. As a result, gross margin improved from about 50.0% to 52.4%.</t>
  </si>
  <si>
    <t>Other operating income decreased by KSh 3.403m (70.7%) compared with 2024. The reduction mainly reflects the non-recurrence of KSh 3.554m of other income reported in 2024. The increase in interest income was not sufficient to offset this fall.</t>
  </si>
  <si>
    <t>Interest income increased by KSh 0.151m (12.0%) compared with 2024. The increase is consistent with higher returns on staff loans and foreign-currency project balances. The movement was modest in absolute terms and did not materially affect operating results.</t>
  </si>
  <si>
    <t>Other income was nil in 2025, compared with KSh 3.554m in 2024. The separate miscellaneous-income balance reported in 2024 did not recur in 2025. This appears to reflect a change in classification or the absence of the underlying one-off income.</t>
  </si>
  <si>
    <t>Sales and marketing expenses increased by KSh 39.065m (33.9%) compared with 2024. Advertising and delivery costs increased by KSh 26.196m and KSh 12.869m respectively. The higher spend is consistent with expanded marketing activity and growth in delivery-based sales.</t>
  </si>
  <si>
    <t>Advertising costs increased by KSh 26.196m (47.1%) compared with 2024. The increase reflects heavier campaign activity, including outlet launches, airport-location marketing, consultancy support and billboards. The scale of growth was well above revenue growth and should be supported by campaign documentation.</t>
  </si>
  <si>
    <t>Delivery costs increased by KSh 12.869m (21.6%) compared with 2024. The movement is consistent with higher delivery volumes and platform commissions. Delivery charges remained concentrated among the major delivery platforms.</t>
  </si>
  <si>
    <t>Administrative expenses increased by KSh 157.036m (15.7%) compared with 2024. Employment costs increased by KSh 90.891m and other administration costs by KSh 66.145m. Payroll, professional services, travel and directors’ remuneration were the main drivers.</t>
  </si>
  <si>
    <t>Salaries and wages increased by KSh 52.768m (7.1%) compared with 2024. The increase was mainly driven by the KSh 46.022m rise in salaries excluding NSSF and KSh 6.745m in employer NSSF. This is consistent with a larger workforce and higher payroll run rate across the expanded network.</t>
  </si>
  <si>
    <t>Salaries excluding NSSF increased by KSh 46.022m (6.4%) compared with 2024. The movement reflects the higher staffing requirement of the expanded outlet network. The year-end payroll run rate was above the level recorded at the start of the year.</t>
  </si>
  <si>
    <t>National Social Security Fund increased by KSh 6.745m (22.1%) compared with 2024. Employer contributions rose faster than base salaries, consistent with statutory contribution changes and a larger covered payroll. The contribution should be agreed to payroll and statutory returns.</t>
  </si>
  <si>
    <t>Staff welfare increased by KSh 0.739m (8.0%) compared with 2024. The increase is consistent with higher welfare and training needs for a larger workforce. The movement remained modest relative to total employment costs.</t>
  </si>
  <si>
    <t>Staff uniform increased by KSh 0.078m (1.6%) compared with 2024. Uniform expenditure was broadly stable despite the wider outlet network. This suggests purchases were controlled or uniforms issued in prior periods continued to be used.</t>
  </si>
  <si>
    <t>Staff transport increased by KSh 3.048m (7.2%) compared with 2024. The increase is consistent with additional staff and locations requiring transport support. Growth was broadly in line with revenue.</t>
  </si>
  <si>
    <t>Work permit expenses increased by KSh 3.746m (398.5%) compared with 2024. The sharp increase reflects several significant permit-related payments during the year. The movement is concentrated and should be supported by the relevant permits and payment records.</t>
  </si>
  <si>
    <t>Net change in provision for leave moved from a credit of KSh 19.101m in 2024 to a charge of KSh 0.480m in 2025. The prior-year leave-provision reversal did not recur. A small charge was recognised in 2025, creating an adverse year-on-year movement of KSh 19.581m.</t>
  </si>
  <si>
    <t>Provision for gratuity increased by KSh 0.909m (20.9%) compared with 2024. The higher charge is consistent with an increased employee-benefit obligation and service cost. The final expense should agree to the actuarial report and gratuity reconciliation.</t>
  </si>
  <si>
    <t>Gratuity interest cost was recorded at KSh 10.022m in 2025, with no comparable amount in 2024. A separate interest cost on the gratuity obligation was recognised for the first time in 2025. This added KSh 10.022m to employment costs and should agree to the actuarial valuation.</t>
  </si>
  <si>
    <t>Total employment costs increased by KSh 90.891m (11.5%) compared with 2024. The main drivers were the KSh 52.768m rise in salaries and NSSF, the KSh 19.581m leave-provision swing and the new KSh 10.022m gratuity interest charge. Together, these explain most of the increase.</t>
  </si>
  <si>
    <t>Directors remuneration increased by KSh 14.322m (30.3%) compared with 2024. The increase forms part of the overall rise in compensation costs. The balance should be agreed to approved remuneration schedules and related-party disclosures.</t>
  </si>
  <si>
    <t>Directors expenses increased by KSh 2.976m (72.9%) compared with 2024. The movement includes a director-related prior-period PAYE item recorded in 2025. This makes the increase partly non-recurring rather than purely current-year operating spend.</t>
  </si>
  <si>
    <t>Legal and professional fees increased by KSh 24.932m (79.7%) compared with 2024. The increase is consistent with a full year of e-commerce project support, website and catalogue services, and guest-experience roles. The balance also includes tax-related professional charges.</t>
  </si>
  <si>
    <t>Current year increased by KSh 0.777m (23.3%) compared with 2024. The audit fee increased broadly in line with the revised engagement charge. The balance should agree to the signed engagement letter and supplier invoices.</t>
  </si>
  <si>
    <t>Postages, telephones and internet increased by KSh 0.261m (1.7%) compared with 2024. The modest increase is consistent with servicing more operating locations. Internet costs remain the largest component of this line.</t>
  </si>
  <si>
    <t>Printing and stationery decreased by KSh 1.462m (8.3%) compared with 2024. The decrease is consistent with improved stock control and purchasing terms. The saving was achieved despite the larger operating network.</t>
  </si>
  <si>
    <t>Café decoration increased by KSh 3.629m (263.9%) compared with 2024. The increase is consistent with decorating newly opened or refurbished outlets. The balance may also include timing effects from accruals and reversals around project completion.</t>
  </si>
  <si>
    <t>Motor vehicle running expenses decreased by KSh 2.450m (11.1%) compared with 2024. The reduction is consistent with lower use of company vehicles after more logistics activity was outsourced. This saving was partly offset by higher travel and transport costs.</t>
  </si>
  <si>
    <t>Travelling and transport increased by KSh 16.257m (53.9%) compared with 2024. The increase reflects the broader outlet network and greater use of outsourced logistics. Logistics-related charges appear to be the main component of the movement.</t>
  </si>
  <si>
    <t>Entertainment expenses was nil in 2025, compared with KSh 0.738m in 2024. The prior-year balance did not recur, indicating that 2025 activities were either supplier-supported or offset by recoveries. The nil balance should be checked against the underlying gross entries.</t>
  </si>
  <si>
    <t>Bad debts / recoveries increased by KSh 0.023m (188.8%) compared with 2024. More receivable balances were written off in 2025, although the amount remains immaterial. The write-offs should be matched to approved customer account closures.</t>
  </si>
  <si>
    <t>Cash sale shortages / surpluses moved from a credit of KSh 0.805m in 2024 to a charge of KSh 0.257m in 2025. The prior-year net surplus changed to a net shortage in 2025. This indicates a deterioration in till or cash reconciliation outcomes and warrants review by outlet.</t>
  </si>
  <si>
    <t>Expected credit loss provision / reversal moved from a credit of KSh 1.947m in 2024 to a charge of KSh 3.618m in 2025. The movement from a reversal to a charge is consistent with the 43.2% increase in trade receivables. The provision should agree to the year-end ageing and expected-credit-loss model.</t>
  </si>
  <si>
    <t>Bank charges and commissions increased by KSh 1.013m (2.3%) compared with 2024. The increase is consistent with higher card and mobile-money transaction volumes as sales grew. Charges rose more slowly than revenue, indicating improved processing-cost absorption.</t>
  </si>
  <si>
    <t>Penalties was nil in 2025, compared with KSh 0.682m in 2024. No operating penalties were recorded in 2025, removing the prior-year charge. Any finance-related penalties are presented separately within finance costs.</t>
  </si>
  <si>
    <t>Miscellaneous expenses increased by KSh 0.660m (59.6%) compared with 2024. The increase relates to residual operating items that are not separately classified. Given the broad nature of the account, unusual or individually material entries should be reviewed.</t>
  </si>
  <si>
    <t>Exchange differences - realised increased by KSh 4.172m (316.3%) compared with 2024. Realised exchange gains increased, reducing administrative expenses. The movement reflects settlement of foreign-currency balances at rates more favourable than their recorded values.</t>
  </si>
  <si>
    <t>Exchange differences - unrealised moved from a credit of KSh 1.865m in 2024 to a charge of KSh 0.831m in 2025. The prior-year revaluation gain changed to a loss in 2025. This non-cash movement reflects year-end translation of outstanding foreign-currency balances.</t>
  </si>
  <si>
    <t>Total other administrative expenses increased by KSh 66.145m (31.3%) compared with 2024. Professional fees, travel and directors’ remuneration were the largest increases. These were partly offset by lower motor-vehicle, printing and stationery costs and higher realised exchange gains.</t>
  </si>
  <si>
    <t>Other operating expenses decreased by KSh 28.725m (3.8%) compared with 2024. The larger gain on lease termination and the non-recurrence of trademark impairment reduced net costs. These benefits outweighed the adverse disposal movement and higher rent, repairs and security costs.</t>
  </si>
  <si>
    <t>Commercial rent increased by KSh 11.176m (7.4%) compared with 2024. The increase is consistent with additional operating locations and higher turnover-based rentals. Lower rent-concession credits also increased the net rental burden.</t>
  </si>
  <si>
    <t>Discount on rent concessions decreased by KSh 3.577m (10.8%) compared with 2024. Rent-concession credits reduced in 2025, providing less relief against gross rental expense. This contributed to the increase in net occupancy costs.</t>
  </si>
  <si>
    <t>Repairs and maintenance increased by KSh 14.469m (19.1%) compared with 2024. The increase is consistent with maintaining a larger and ageing outlet network. The balance includes both recurring maintenance contracts and ad hoc repairs.</t>
  </si>
  <si>
    <t>Licences decreased by KSh 0.368m (1.8%) compared with 2024. The slight reduction suggests lower effluent or other licence charges, partly offsetting the effect of additional locations. The account was broadly stable year on year.</t>
  </si>
  <si>
    <t>No balance was recorded for lighting, water and heating in either year. Utility costs reduced despite higher sales, indicating improved consumption or tariff management. The cost represented a lower proportion of revenue than in 2024.</t>
  </si>
  <si>
    <t>Insurance expenses increased by KSh 1.579m (6.0%) compared with 2024. The increase is consistent with insuring additional outlets and assets. Growth remained below the expansion in the right-of-use asset base.</t>
  </si>
  <si>
    <t>Security increased by KSh 2.637m (27.2%) compared with 2024. The movement reflects security services for additional locations. The increase was significant relative to revenue and should be supported by contracts and outlet listings.</t>
  </si>
  <si>
    <t>Cleaning expenses increased by KSh 1.166m (2.7%) compared with 2024. Cleaning costs increased only modestly despite the wider outlet network. This indicates relatively stable unit costs or efficiencies in service arrangements.</t>
  </si>
  <si>
    <t>Loss / gain on disposal of property and equipment moved from a credit of KSh 47.584m in 2024 to a charge of KSh 11.199m in 2025. A disposal gain in 2024 changed to a loss in 2025, producing a KSh 58.783m adverse swing. The movement should agree to the fixed-asset disposal schedule and sale proceeds.</t>
  </si>
  <si>
    <t>Gain on lease termination increased by KSh 84.592m (1,280.9%) compared with 2024. The larger gain reflects lease terminations or modifications where liabilities released exceeded the related right-of-use assets removed. The balance should agree to the lease modification calculations.</t>
  </si>
  <si>
    <t>Impairment of acquired trademarks was nil in 2025, compared with KSh 18.500m in 2024. The trademarks were fully impaired in 2024, so no further charge arose in 2025. The nil closing carrying value explains the non-recurrence.</t>
  </si>
  <si>
    <t>Amortisation of intangible assets increased by KSh 4.356m (238.1%) compared with 2024. The increase is consistent with additions to software and other intangible assets during the year. The charge should agree to the intangible-asset register and useful lives applied.</t>
  </si>
  <si>
    <t>Depreciation of right-of-use assets decreased by KSh 8.431m (2.8%) compared with 2024. The charge reduced despite new lease additions, reflecting the effect of terminations, modifications and the maturity profile of existing leases. It should agree to the lease asset schedule.</t>
  </si>
  <si>
    <t>Depreciation of property, plant and equipment decreased by KSh 14.578m (7.6%) compared with 2024. The lower charge is consistent with disposals and fully depreciated assets, partly offset by current-year additions. The movement should agree to the fixed-asset register.</t>
  </si>
  <si>
    <t>Operating profit increased by KSh 79.963m (50.0%) compared with 2024. Gross profit improved by KSh 250.742m and other operating expenses reduced by KSh 28.725m. These gains more than offset higher administration and marketing costs, resulting in a KSh 79.963m increase.</t>
  </si>
  <si>
    <t>Finance costs increased by KSh 10.962m (4.0%) compared with 2024. Lower overdraft and loan interest saved KSh 54.617m, but realised and unrealised exchange gains reduced by KSh 62.593m. Higher lease interest also contributed to the net increase.</t>
  </si>
  <si>
    <t>Bank overdraft interest decreased by KSh 26.047m (54.8%) compared with 2024. The reduction is consistent with the fall in the overdraft balance from KSh 404.420m to KSh 160.564m. Lower facility utilisation reduced the annual interest charge.</t>
  </si>
  <si>
    <t>Loan interest decreased by KSh 28.570m (29.7%) compared with 2024. The decrease reflects lower outstanding term-loan balances and scheduled repayments. A year-end interest recovery also reduced the net charge.</t>
  </si>
  <si>
    <t>Other interest decreased by KSh 1.308m (40.6%) compared with 2024. This line mainly relates to loan appraisal or facility fees. The reduction indicates fewer or lower-value financing arrangements during the year.</t>
  </si>
  <si>
    <t>Lease liability interest increased by KSh 2.373m (1.2%) compared with 2024. The increase is consistent with the larger combined lease-liability balance following new lease additions. The charge should agree to the IFRS 16 lease schedules.</t>
  </si>
  <si>
    <t>Penalties and interest moved from a credit of KSh 0.112m in 2024 to a charge of KSh 1.808m in 2025. A small prior-year credit changed to a financing-related charge in 2025. The entries should be reviewed to distinguish statutory penalties from ordinary borrowing costs.</t>
  </si>
  <si>
    <t>Exchange differences - realised decreased by KSh 28.119m (99.4%) compared with 2024. Financing-related realised exchange gains fell sharply, removing a material offset against interest expense. The reduction reflects fewer favourable settlements or less foreign-currency exposure.</t>
  </si>
  <si>
    <t>Exchange differences - unrealised decreased by KSh 34.475m (97.6%) compared with 2024. The year-end financing revaluation gain reduced substantially, removing a non-cash benefit recorded in 2024. The balance should agree to the foreign-currency loan revaluation.</t>
  </si>
  <si>
    <t>Loss before tax decreased by KSh 69.001m (58.9%) compared with 2024. Operating profit improved by KSh 79.963m, partly offset by KSh 10.962m of additional finance costs. The result was a KSh 69.001m narrowing of the pre-tax loss.</t>
  </si>
  <si>
    <t>Tax charge increased by KSh 0.045m (12.0%) compared with 2024. The tax charge moved broadly in line with interest income despite the overall accounting loss. The amount approximates tax on taxable interest and should agree to the current-tax computation.</t>
  </si>
  <si>
    <t>Current year tax charge increased by KSh 0.045m (12.0%) compared with 2024. The increase follows the rise in interest income from KSh 1.261m to KSh 1.412m. The amount should agree to the current-tax computation and instalment-tax records.</t>
  </si>
  <si>
    <t>No balance was recorded for deferred tax charge / credit in either year. No deferred-tax charge or credit was recognised in either year. Deferred-tax assets appear to remain offset by the unrecognised-asset adjustment.</t>
  </si>
  <si>
    <t>Loss for the year decreased by KSh 68.955m (58.7%) compared with 2024. The loss narrowed mainly because operating profit improved by KSh 79.963m. Higher finance costs and the slightly higher tax charge absorbed part of that improvement.</t>
  </si>
  <si>
    <t>Re-measurement of staff gratuity increased by KSh 8.978m (805.9%) compared with 2024. The larger actuarial loss reflects changes in the gratuity obligation at year end. The amount should agree to the actuarial valuation and is recognised outside profit or loss.</t>
  </si>
  <si>
    <t>Other comprehensive loss increased by KSh 8.978m (805.9%) compared with 2024. The increase is entirely attributable to the larger gratuity remeasurement loss. It is presented outside operating profit and finance costs.</t>
  </si>
  <si>
    <t>Total comprehensive loss decreased by KSh 59.978m (50.6%) compared with 2024. The KSh 68.955m improvement in the annual loss was partly offset by the KSh 8.978m increase in other comprehensive loss. Total comprehensive loss therefore improved by KSh 59.978m.</t>
  </si>
  <si>
    <t>Total cost of sales increased by KSh 41.797m (2.1%) compared with 2024. Food costs and production salaries increased by KSh 35.941m and KSh 21.155m respectively. Lower utilities, packaging and kitchen depreciation partly offset the increase.</t>
  </si>
  <si>
    <t>Total sales and marketing expenses increased by KSh 39.065m (33.9%) compared with 2024. Advertising and delivery costs increased by KSh 26.196m and KSh 12.869m respectively. The higher spend is consistent with expanded marketing activity and delivery volumes.</t>
  </si>
  <si>
    <t>Net change in provision for leave moved from a charge of KSh 19.101m in 2024 to a credit of KSh 0.480m in 2025. The prior-year leave-provision reversal did not recur. A small charge was recognised in 2025, creating an adverse year-on-year movement of KSh 19.581m.</t>
  </si>
  <si>
    <t>Cash sale shortages / surpluses moved from a charge of KSh 0.805m in 2024 to a credit of KSh 0.257m in 2025. The prior-year net surplus changed to a net shortage in 2025. This indicates a deterioration in till or cash reconciliation outcomes and warrants review by outlet.</t>
  </si>
  <si>
    <t>Expected credit loss provision / reversal moved from a charge of KSh 1.947m in 2024 to a credit of KSh 3.618m in 2025. The movement from a reversal to a charge is consistent with the 43.2% increase in trade receivables. The provision should agree to the year-end ageing and expected-credit-loss model.</t>
  </si>
  <si>
    <t>Exchange differences - unrealised moved from a charge of KSh 1.865m in 2024 to a credit of KSh 0.831m in 2025. The prior-year revaluation gain changed to a loss in 2025. This non-cash movement reflects year-end translation of outstanding foreign-currency balances.</t>
  </si>
  <si>
    <t>Total administrative expenses increased by KSh 157.036m (15.7%) compared with 2024. Employment costs increased by KSh 90.891m and other administration costs by KSh 66.145m. Payroll, professional services, travel and directors’ remuneration were the main drivers.</t>
  </si>
  <si>
    <t>Loss / gain on disposal of property and equipment moved from a charge of KSh 47.584m in 2024 to a credit of KSh 11.199m in 2025. A disposal gain in 2024 changed to a loss in 2025, producing a KSh 58.783m adverse swing. The movement should agree to the fixed-asset disposal schedule and sale proceeds.</t>
  </si>
  <si>
    <t>Total other operating expenses decreased by KSh 28.725m (3.8%) compared with 2024. The larger gain on lease termination and the non-recurrence of trademark impairment reduced net costs. These benefits outweighed the adverse disposal movement and higher rent, repairs and security costs.</t>
  </si>
  <si>
    <t>Share capital decreased by KSh 0.000m (0.0%) compared with 2024. No new ordinary shares were issued during the year; the increase in funding was recorded through preference shares instead.</t>
  </si>
  <si>
    <t>Preference share capital - nominal increased by KSh 51.626m (38.4%) compared with 2024. New preference-share allotments increased nominal capital by KSh 51.626m. Together with the related premium, the issue added KSh 516.260m of funding.</t>
  </si>
  <si>
    <t>Preference share capital - premium increased by KSh 464.634m (38.4%) compared with 2024. The increase is the premium component of the 2025 preference-share allotments. It should agree to allotment records, shareholder resolutions and cash receipts.</t>
  </si>
  <si>
    <t>Shareholders funds awaiting allotment increased by KSh 0.005m (4,210.0%) compared with 2024. The closing balance is small and represents funding not yet allocated to share capital. It should be agreed to the share-allotment reconciliation.</t>
  </si>
  <si>
    <t>Accumulated deficit increased by KSh 58.606m (2.0%) compared with 2024. The deficit increased by the KSh 48.515m loss for the year and KSh 10.092m other comprehensive loss. These movements total the KSh 58.606m increase.</t>
  </si>
  <si>
    <t>Accumulated deficit at start of year increased by KSh 118.584m (4.3%) compared with 2024. The movement represents the prior-year total comprehensive loss carried into the 2025 opening balance. It should agree to the prior-year closing equity position.</t>
  </si>
  <si>
    <t>Loss for the year decreased by KSh 68.955m (58.7%) compared with 2024. The loss narrowed as operating profit improved, although finance costs remained significant. The amount agrees to the profit and loss statement.</t>
  </si>
  <si>
    <t>Other comprehensive loss increased by KSh 8.978m (805.9%) compared with 2024. The increase reflects the larger actuarial remeasurement loss on staff gratuity. The amount should agree to the actuarial valuation.</t>
  </si>
  <si>
    <t>Shareholders deficit decreased by KSh 457.659m (29.6%) compared with 2024. Preference-share funding of KSh 516.260m more than offset the KSh 58.606m total comprehensive loss. This reduced the shareholders’ deficit by KSh 457.659m.</t>
  </si>
  <si>
    <t>Borrowings decreased by KSh 99.531m (25.8%) compared with 2024. The reduction mainly reflects the fall in bank overdraft and non-current term-loan balances. Current term-loan instalments partly offset this decrease.</t>
  </si>
  <si>
    <t>Term loans decreased by KSh 101.417m (26.4%) compared with 2024. Scheduled repayments reduced the total loan exposure, while amounts due within twelve months were reclassified to current liabilities. The balance should agree to lender statements and amortisation schedules.</t>
  </si>
  <si>
    <t>Finance lease increased by KSh 1.886m (155.5%) compared with 2024. The movement reflects changes in hire-purchase or finance-lease facilities and the split between current and non-current portions. It should agree to the underlying repayment schedules.</t>
  </si>
  <si>
    <t>Lease liabilities increased by KSh 151.748m (16.9%) compared with 2024. New leases increased the longer-term liability, while payments, concessions and modifications reduced the balance. The movement should agree to the IFRS 16 lease roll-forward.</t>
  </si>
  <si>
    <t>Total non-current liabilities increased by KSh 52.217m (4.1%) compared with 2024. The KSh 151.748m increase in non-current lease liabilities exceeded the KSh 99.531m reduction in non-current borrowings. This produced a net KSh 52.217m increase.</t>
  </si>
  <si>
    <t>Total capital employed moved from a charge of KSh 259.937m in 2024 to a credit of KSh 249.939m in 2025. Additional preference-share funding and non-current liabilities moved the balance into a positive position. The change also incorporates the current-year comprehensive loss.</t>
  </si>
  <si>
    <t>Property, plant and equipment decreased by KSh 45.158m (7.2%) compared with 2024. Additions were outweighed by depreciation and disposals, reducing the net carrying amount. The balance should agree to the fixed-asset register.</t>
  </si>
  <si>
    <t>Leasehold improvements decreased by KSh 52.304m (18.8%) compared with 2024. Depreciation and disposals exceeded additions and transfers from work in progress. This reduced the closing carrying value materially.</t>
  </si>
  <si>
    <t>No balance was recorded for buildings in either year. The building asset had already been disposed of, with no additions or remaining carrying value in either year.</t>
  </si>
  <si>
    <t>Motor vehicles increased by KSh 0.822m (18.2%) compared with 2024. Current-year additions exceeded depreciation, producing a modest increase in carrying value. Disposals had little remaining net book value.</t>
  </si>
  <si>
    <t>Furniture, fittings and equipment decreased by KSh 9.135m (12.2%) compared with 2024. Depreciation and disposals exceeded additions and transfers from work in progress. The movement should agree to the asset register.</t>
  </si>
  <si>
    <t>Computer equipment increased by KSh 0.909m (7.7%) compared with 2024. Additions exceeded depreciation, resulting in a modest net increase. The balance should be supported by invoices and the asset register.</t>
  </si>
  <si>
    <t>Kitchen equipment decreased by KSh 4.334m (5.1%) compared with 2024. Additions and transfers were insufficient to offset depreciation and disposals. The carrying amount therefore reduced despite investment during the year.</t>
  </si>
  <si>
    <t>Communications and office equipment decreased by KSh 23.997m (21.3%) compared with 2024. Depreciation exceeded additions, and disposals further reduced the balance. This indicates an ageing asset base despite current-year purchases.</t>
  </si>
  <si>
    <t>Cutlery increased by KSh 1.534m (6.0%) compared with 2024. Additions and transfers slightly exceeded depreciation and disposals. The balance remained broadly stable relative to the expanded network.</t>
  </si>
  <si>
    <t>Capital work in progress increased by KSh 41.347m (113.8%) compared with 2024. The increase reflects capital purchases not yet available for use at year end. Transfers to operating asset classes partly offset additions.</t>
  </si>
  <si>
    <t>Right-of-use assets increased by KSh 233.620m (25.3%) compared with 2024. New leases and modifications increased gross cost, while depreciation reduced the net balance. The movement should agree to the lease roll-forward.</t>
  </si>
  <si>
    <t>Cost at year end increased by KSh 531.247m (20.4%) compared with 2024. The increase reflects additions during the year and should agree to the relevant fixed-asset or lease roll-forward.</t>
  </si>
  <si>
    <t>Less: accumulated depreciation increased by KSh 297.627m (17.8%) compared with 2024. The higher accumulated charge reflects the current-year depreciation or amortisation expense, net of amounts removed on disposals.</t>
  </si>
  <si>
    <t>Intangible assets - computer software increased by KSh 13.769m (793.5%) compared with 2024. Software additions materially increased the asset base, with amortisation only partly offsetting the growth. The balance should agree to the intangible-asset register.</t>
  </si>
  <si>
    <t>Cost at year end increased by KSh 18.068m (62.1%) compared with 2024. The increase reflects additions during the year and should agree to the relevant fixed-asset or lease roll-forward.</t>
  </si>
  <si>
    <t>Less: accumulated amortisation increased by KSh 4.299m (15.7%) compared with 2024. The higher accumulated charge reflects the current-year depreciation or amortisation expense, net of amounts removed on disposals.</t>
  </si>
  <si>
    <t>No balance was recorded for intangible assets - acquired trademarks in either year. The trademarks were fully impaired in the prior year and had no remaining carrying value in 2025.</t>
  </si>
  <si>
    <t>Carrying amount at start of year was nil in 2025, compared with KSh 18.500m in 2024. The prior-year carrying amount was fully impaired, leaving no opening balance for 2025.</t>
  </si>
  <si>
    <t>Impairment during the year was nil in 2025, compared with KSh 18.500m in 2024. No further charge arose because the trademark asset had already been fully impaired in 2024.</t>
  </si>
  <si>
    <t>No balance was recorded for deferred tax in either year. No net deferred-tax asset was recognised because temporary differences and tax losses were fully offset by the unrecognised-asset adjustment.</t>
  </si>
  <si>
    <t>Property and equipment increased by KSh 3.356m (3.5%) compared with 2024. This temporary difference changed with the underlying accounting balance. The tax effect remains unrecognised through the offsetting deferred-tax adjustment.</t>
  </si>
  <si>
    <t>Leave provision increased by KSh 0.144m (1.8%) compared with 2024. This temporary difference changed with the underlying accounting balance. The tax effect remains unrecognised through the offsetting deferred-tax adjustment.</t>
  </si>
  <si>
    <t>Bad debts provision increased by KSh 1.086m (71.7%) compared with 2024. This temporary difference changed with the underlying accounting balance. The tax effect remains unrecognised through the offsetting deferred-tax adjustment.</t>
  </si>
  <si>
    <t>Gratuity provision increased by KSh 4.581m (25.0%) compared with 2024. The increase reflects service cost, interest cost and actuarial loss, partly offset by benefits paid. The closing obligation should agree to the actuarial report.</t>
  </si>
  <si>
    <t>Right-of-use asset differences increased by KSh 9.656m (4.6%) compared with 2024. This temporary difference changed with the underlying accounting balance. The tax effect remains unrecognised through the offsetting deferred-tax adjustment.</t>
  </si>
  <si>
    <t>Foreign exchange differences increased by KSh 0.467m (23.7%) compared with 2024. This temporary difference changed with the underlying accounting balance. The tax effect remains unrecognised through the offsetting deferred-tax adjustment.</t>
  </si>
  <si>
    <t>Tax losses increased by KSh 1.377m (0.6%) compared with 2024. Tax losses increased slightly, but the related deferred-tax asset remains unrecognised. The balance should agree to the tax computation.</t>
  </si>
  <si>
    <t>Offset for deferred tax assets not recognised increased by KSh 20.667m (3.7%) compared with 2024. The offset increased to match the larger net deferred-tax asset arising from temporary differences and tax losses. This keeps recognised deferred tax at nil.</t>
  </si>
  <si>
    <t>Total non-current assets increased by KSh 202.232m (13.0%) compared with 2024. Growth in right-of-use assets and software more than offset the reduction in property, plant and equipment. This produced a KSh 202.232m net increase.</t>
  </si>
  <si>
    <t>Inventories increased by KSh 32.745m (26.3%) compared with 2024. The increase was mainly driven by food, beverages and tobacco, packaging-related stock and spare parts. The movement is consistent with the larger trading network.</t>
  </si>
  <si>
    <t>Food, beverages and tobacco increased by KSh 21.716m (25.5%) compared with 2024. The higher balance is consistent with increased sales volumes and stock requirements across more outlets. Cut-off, ageing and net realisable value should be reviewed.</t>
  </si>
  <si>
    <t>Cleaning materials decreased by KSh 0.027m (0.9%) compared with 2024. The balance was broadly unchanged, indicating stable stock holdings despite the larger outlet network.</t>
  </si>
  <si>
    <t>Packaging, staff uniforms and stationery increased by KSh 4.308m (18.7%) compared with 2024. The increase is consistent with higher stock requirements for a wider operating network. The balance should agree to year-end counts and ageing reports.</t>
  </si>
  <si>
    <t>Spare parts increased by KSh 6.747m (50.3%) compared with 2024. The significant increase may reflect stocking for maintenance of a larger asset base. Slow-moving and obsolete items should be assessed.</t>
  </si>
  <si>
    <t>Trade and other receivables increased by KSh 17.715m (14.6%) compared with 2024. Higher trade receivables, prepayments, other receivables and director balances were partly offset by lower deposits and a larger loss allowance.</t>
  </si>
  <si>
    <t>Trade receivables increased by KSh 15.923m (43.2%) compared with 2024. The balance grew substantially faster than revenue, indicating slower collections or higher credit sales. Ageing, subsequent receipts and impairment should receive particular attention.</t>
  </si>
  <si>
    <t>Prepayments increased by KSh 4.594m (33.8%) compared with 2024. The increase likely reflects advance payments for rent, insurance, services or supplies. The balance should be supported by schedules and released over the correct periods.</t>
  </si>
  <si>
    <t>Deposits decreased by KSh 2.492m (4.1%) compared with 2024. The reduction suggests refunds, utilisation or reclassification of deposits. Remaining balances should be confirmed and assessed for recoverability.</t>
  </si>
  <si>
    <t>Other receivables increased by KSh 1.468m (15.0%) compared with 2024. The increase should be analysed by counterparty and nature, with subsequent recovery tested for older items.</t>
  </si>
  <si>
    <t>Receivables from directors increased by KSh 1.505m (28.5%) compared with 2024. The balance increased and should be agreed to director confirmations, approvals and related-party disclosures.</t>
  </si>
  <si>
    <t>Less: expected credit loss provision increased by KSh 3.283m (66.8%) compared with 2024. The larger allowance is consistent with the growth in receivables and potentially older outstanding balances. It should agree to the impairment model and ageing data.</t>
  </si>
  <si>
    <t>Cash at bank and in hand decreased by KSh 10.482m (20.3%) compared with 2024. The reduction reflects lower closing liquidity despite improved operating performance. Bank balances should be agreed to confirmations and reconciliations.</t>
  </si>
  <si>
    <t>Tax recoverable increased by KSh 0.234m (1.2%) compared with 2024. The balance was broadly stable and should agree to tax returns, payment records and the tax authority ledger.</t>
  </si>
  <si>
    <t>Total current assets increased by KSh 40.212m (12.7%) compared with 2024. Inventory and receivable growth more than offset the decrease in cash. The result was a KSh 40.212m increase in current assets.</t>
  </si>
  <si>
    <t>Borrowings decreased by KSh 228.784m (46.5%) compared with 2024. The reduction mainly reflects the fall in bank overdraft and non-current term-loan balances. Current term-loan instalments partly offset this decrease.</t>
  </si>
  <si>
    <t>Term loans increased by KSh 16.053m (19.1%) compared with 2024. Scheduled repayments reduced the total loan exposure, while amounts due within twelve months were reclassified to current liabilities. The balance should agree to lender statements and amortisation schedules.</t>
  </si>
  <si>
    <t>Finance lease decreased by KSh 0.981m (31.8%) compared with 2024. The movement reflects changes in hire-purchase or finance-lease facilities and the split between current and non-current portions. It should agree to the underlying repayment schedules.</t>
  </si>
  <si>
    <t>Bank overdraft decreased by KSh 243.856m (60.3%) compared with 2024. The substantial reduction indicates repayment or lower utilisation of short-term facilities. This is consistent with the fall in overdraft interest.</t>
  </si>
  <si>
    <t>Trade and other payables decreased by KSh 56.642m (5.0%) compared with 2024. Lower trade payables, grants and other payables outweighed the increase in accruals. The balance should be tested for completeness using subsequent payments.</t>
  </si>
  <si>
    <t>Trade payables decreased by KSh 60.747m (7.9%) compared with 2024. The decrease may reflect supplier settlements or lower unpaid purchases at year end. Supplier statements and subsequent payments should be reconciled.</t>
  </si>
  <si>
    <t>Grants decreased by KSh 5.564m (13.3%) compared with 2024. The reduction reflects utilisation or release of grant balances. The remaining amount should be agreed to grant conditions and supporting schedules.</t>
  </si>
  <si>
    <t>Accruals increased by KSh 25.508m (18.4%) compared with 2024. The increase indicates more costs incurred but unpaid at year end. Major accruals should be supported by invoices, contracts and post-year-end settlements.</t>
  </si>
  <si>
    <t>Other payables decreased by KSh 15.840m (9.0%) compared with 2024. The reduction suggests settlement or reclassification of miscellaneous obligations. Aged balances should be investigated.</t>
  </si>
  <si>
    <t>No balance was recorded for payable to related parties in either year. No related-party payable was recorded in either year. This should be consistent with related-party confirmations and disclosures.</t>
  </si>
  <si>
    <t>Lease liabilities decreased by KSh 7.369m (1.6%) compared with 2024. New leases increased the longer-term liability, while payments, concessions and modifications reduced the balance. The movement should agree to the IFRS 16 lease roll-forward.</t>
  </si>
  <si>
    <t>Gratuity provision increased by KSh 25.363m (41.6%) compared with 2024. The increase reflects service cost, interest cost and actuarial loss, partly offset by benefits paid. The closing obligation should agree to the actuarial report.</t>
  </si>
  <si>
    <t>Opening benefit obligation increased by KSh 5.455m (9.8%) compared with 2024. The opening amount agrees to the prior-year closing gratuity obligation, adjusted for the roll-forward into 2025.</t>
  </si>
  <si>
    <t>Current service cost increased by KSh 1.886m (43.4%) compared with 2024. The increase is consistent with employee service earned during the year and changes in the covered workforce.</t>
  </si>
  <si>
    <t>Interest cost was recorded at KSh 10.022m in 2025, with no comparable amount in 2024. A separate finance component was recognised on the opening benefit obligation in 2025. It should agree to the actuarial discount-rate calculation.</t>
  </si>
  <si>
    <t>Actuarial loss increased by KSh 8.978m (805.9%) compared with 2024. The larger loss reflects changes in actuarial assumptions or experience adjustments. It is recognised in other comprehensive income.</t>
  </si>
  <si>
    <t>Benefits and expenses paid was recorded at KSh 0.978m in 2025, with no comparable amount in 2024. Payments during the year reduced the closing gratuity obligation. They should be agreed to payroll and bank records.</t>
  </si>
  <si>
    <t>Total current liabilities decreased by KSh 267.433m (12.5%) compared with 2024. The reduction was mainly driven by the KSh 228.784m fall in current borrowings and KSh 56.642m reduction in trade and other payables. Higher gratuity provisions partly offset these movements.</t>
  </si>
  <si>
    <t>Net current liabilities decreased by KSh 307.644m (16.9%) compared with 2024. Current liabilities reduced more than current assets increased, improving the working-capital deficit by KSh 307.644m. The business nevertheless remained in a net current liability position.</t>
  </si>
  <si>
    <t>Net assets / liabilities moved from a charge of KSh 259.937m in 2024 to a credit of KSh 249.939m in 2025. Preference-share funding and the improved working-capital position moved the entity from net liabilities to net assets. The closing balance agrees broadly to total capital employed.</t>
  </si>
  <si>
    <t>December sales were KSh 434.248m, representing 10.0% of annual sales. This was an increase of 17.8% from the previous month. Festive-season trading and five additional branches with positive sales supported the increase. Existing branches and other channels contributed most of the month-on-month growth.</t>
  </si>
  <si>
    <t>August sales were KSh 379.610m, representing 8.7% of annual sales. This was an increase of 2.5% from the previous month. School-holiday and tourism demand supported sales, following the increase recorded in July. The month remained one of the strongest trading periods of the year.</t>
  </si>
  <si>
    <t>October sales were KSh 375.231m, representing 8.6% of annual sales. This was an increase of 3.5% from the previous month. Sales recovered from the September decline and returned close to the August peak. The improvement was broad enough to lift October to the third-highest month.</t>
  </si>
  <si>
    <t>July sales were KSh 370.425m, representing 8.5% of annual sales. This was an increase of 6.5% from the previous month. The increase is consistent with school-holiday and tourism demand. Sales moved above the first-half monthly range and remained elevated through August.</t>
  </si>
  <si>
    <t>November sales were KSh 368.545m, representing 8.5% of annual sales. This was a decrease of 1.8% from the previous month. Sales eased slightly after October but remained above most first-half months. The decline appears to be normal monthly variation ahead of the December peak.</t>
  </si>
  <si>
    <t>September sales were KSh 362.488m, representing 8.3% of annual sales. This was a decrease of 4.5% from the previous month. Sales reduced after the August peak, consistent with normalisation after the school-holiday period. Despite the fall, September remained above the first-half monthly average.</t>
  </si>
  <si>
    <t>May sales were KSh 350.101m, representing 8.1% of annual sales. This was an increase of 2.3% from the previous month. The increase followed the modest improvement in April and reflects continued trading across the expanded network. Sales remained close to the annual monthly average.</t>
  </si>
  <si>
    <t>January sales were KSh 348.793m, representing 8.0% of annual sales. January provides the opening monthly base for the year, so no month-on-month percentage is shown. Sales represented 8.0% of the annual total.</t>
  </si>
  <si>
    <t>June sales were KSh 347.926m, representing 8.0% of annual sales. This was a decrease of 0.6% from the previous month. Sales were broadly stable compared with May, with only a 0.6% decrease. The limited movement indicates a steady trading run rate before the July increase.</t>
  </si>
  <si>
    <t>April sales were KSh 342.093m, representing 7.9% of annual sales. This was an increase of 1.4% from the previous month. Sales increased modestly from March despite April having one fewer calendar day. This indicates an improvement in the average daily sales rate.</t>
  </si>
  <si>
    <t>March sales were KSh 337.224m, representing 7.8% of annual sales. This was an increase of 2.5% from the previous month. March benefited from three more trading days than February. The monthly total rose even though the implied daily run rate was lower than in February.</t>
  </si>
  <si>
    <t>February sales were KSh 328.967m, representing 7.6% of annual sales. This was a decrease of 5.7% from the previous month. The decline mainly reflects February having 28 days compared with 31 in January. On a daily basis, sales were stronger, so the lower monthly total was calendar-driven.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</si>
</sst>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quot;-&quot;"/>
    <numFmt numFmtId="165" formatCode="0.0%;\(0.0%\);&quot;-&quot;"/>
    <numFmt numFmtId="166" formatCode="#,##0.00;\(#,##0.00\);&quot;-&quot;"/>
    <numFmt numFmtId="167" formatCode="#,##0.00;\(#,##0.00\);0.00"/>
  </numFmts>
  <fonts count="11">
    <font>
      <sz val="11"/>
      <name val="Carlito"/>
    </font>
    <font>
      <b/>
      <sz val="14"/>
      <name val="Arial"/>
      <family val="2"/>
    </font>
    <font>
      <sz val="10"/>
      <name val="Arial"/>
      <family val="2"/>
    </font>
    <font>
      <b/>
      <sz val="12"/>
      <name val="Arial"/>
      <family val="2"/>
    </font>
    <font>
      <b/>
      <sz val="11"/>
      <name val="Carlito"/>
    </font>
    <font>
      <b/>
      <i/>
      <sz val="10"/>
      <name val="Arial"/>
      <family val="2"/>
    </font>
    <font>
      <b/>
      <sz val="11"/>
      <color rgb="FF202020"/>
      <name val="Arial"/>
      <family val="2"/>
    </font>
    <font>
      <sz val="11"/>
      <color rgb="FF202020"/>
      <name val="Arial"/>
      <family val="2"/>
    </font>
    <font>
      <b/>
      <sz val="12"/>
      <color rgb="FF202020"/>
      <name val="Arial"/>
      <family val="2"/>
    </font>
    <font>
      <sz val="11"/>
      <color rgb="FF202020"/>
      <name val="Arial"/>
      <family val="2"/>
    </font>
    <font>
      <i/>
      <sz val="11"/>
      <color rgb="FF202020"/>
      <name val="Arial"/>
      <family val="2"/>
    </font>
  </fonts>
  <fills count="4">
    <fill>
      <patternFill patternType="none"/>
    </fill>
    <fill>
      <patternFill patternType="gray125"/>
    </fill>
    <fill>
      <patternFill patternType="solid">
        <fgColor rgb="FFD9E2F3"/>
      </patternFill>
    </fill>
    <fill>
      <patternFill patternType="solid">
        <fgColor theme="0"/>
        <bgColor indexed="64"/>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medium">
        <color indexed="64"/>
      </left>
      <right style="thin">
        <color rgb="FFD9D9D9"/>
      </right>
      <top style="medium">
        <color indexed="64"/>
      </top>
      <bottom style="medium">
        <color indexed="64"/>
      </bottom>
      <diagonal/>
    </border>
    <border>
      <left style="thin">
        <color rgb="FFD9D9D9"/>
      </left>
      <right style="thin">
        <color rgb="FFD9D9D9"/>
      </right>
      <top style="medium">
        <color indexed="64"/>
      </top>
      <bottom style="medium">
        <color indexed="64"/>
      </bottom>
      <diagonal/>
    </border>
    <border>
      <left style="thin">
        <color rgb="FFD9D9D9"/>
      </left>
      <right style="medium">
        <color indexed="64"/>
      </right>
      <top style="medium">
        <color indexed="64"/>
      </top>
      <bottom style="medium">
        <color indexed="64"/>
      </bottom>
      <diagonal/>
    </border>
  </borders>
  <cellStyleXfs count="1">
    <xf numFmtId="0" fontId="0" fillId="0" borderId="0"/>
  </cellStyleXfs>
  <cellXfs count="5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xf numFmtId="0" fontId="6" fillId="0" borderId="1" xfId="0" applyFont="1" applyBorder="1" applyAlignment="1">
      <alignment vertical="center"/>
    </xf>
    <xf numFmtId="165" fontId="6" fillId="0" borderId="1" xfId="0" applyNumberFormat="1" applyFont="1" applyBorder="1" applyAlignment="1">
      <alignment vertical="center"/>
    </xf>
    <xf numFmtId="0" fontId="7" fillId="0" borderId="1" xfId="0" applyFont="1" applyBorder="1" applyAlignment="1">
      <alignment vertical="center" wrapText="1"/>
    </xf>
    <xf numFmtId="0" fontId="7" fillId="0" borderId="1" xfId="0" applyFont="1" applyBorder="1" applyAlignment="1">
      <alignment vertical="center"/>
    </xf>
    <xf numFmtId="165" fontId="7" fillId="0" borderId="1" xfId="0" applyNumberFormat="1" applyFont="1" applyBorder="1" applyAlignment="1">
      <alignment horizontal="right" vertical="center"/>
    </xf>
    <xf numFmtId="165" fontId="6" fillId="0" borderId="1" xfId="0" applyNumberFormat="1" applyFont="1" applyBorder="1" applyAlignment="1">
      <alignment horizontal="right" vertical="center"/>
    </xf>
    <xf numFmtId="0" fontId="6" fillId="0" borderId="1" xfId="0" applyFont="1" applyBorder="1" applyAlignment="1">
      <alignment vertical="center" wrapText="1"/>
    </xf>
    <xf numFmtId="164" fontId="7" fillId="0" borderId="1" xfId="0" applyNumberFormat="1" applyFont="1" applyBorder="1" applyAlignment="1">
      <alignment horizontal="right" vertical="center" wrapText="1"/>
    </xf>
    <xf numFmtId="165" fontId="7" fillId="0" borderId="1" xfId="0" applyNumberFormat="1" applyFont="1" applyBorder="1" applyAlignment="1">
      <alignment horizontal="right" vertical="center" wrapText="1"/>
    </xf>
    <xf numFmtId="164" fontId="6" fillId="0" borderId="1" xfId="0" applyNumberFormat="1" applyFont="1" applyBorder="1" applyAlignment="1">
      <alignment horizontal="right" vertical="center" wrapText="1"/>
    </xf>
    <xf numFmtId="165" fontId="6" fillId="0" borderId="1" xfId="0" applyNumberFormat="1" applyFont="1" applyBorder="1" applyAlignment="1">
      <alignment horizontal="right" vertical="center" wrapText="1"/>
    </xf>
    <xf numFmtId="0" fontId="8" fillId="0" borderId="0" xfId="0" applyFont="1" applyAlignment="1">
      <alignment vertical="center"/>
    </xf>
    <xf numFmtId="0" fontId="6" fillId="2" borderId="1" xfId="0" applyFont="1" applyFill="1" applyBorder="1" applyAlignment="1">
      <alignment horizontal="center" vertical="center" wrapText="1"/>
    </xf>
    <xf numFmtId="0" fontId="9" fillId="0" borderId="1" xfId="0" applyFont="1" applyBorder="1" applyAlignment="1">
      <alignment vertical="center" wrapText="1"/>
    </xf>
    <xf numFmtId="164" fontId="9" fillId="0" borderId="1" xfId="0" applyNumberFormat="1" applyFont="1" applyBorder="1" applyAlignment="1">
      <alignment horizontal="right" vertical="center" wrapText="1"/>
    </xf>
    <xf numFmtId="165" fontId="9" fillId="0" borderId="1" xfId="0" applyNumberFormat="1" applyFont="1" applyBorder="1" applyAlignment="1">
      <alignment horizontal="right" vertical="center" wrapText="1"/>
    </xf>
    <xf numFmtId="166" fontId="7" fillId="0" borderId="1" xfId="0" applyNumberFormat="1" applyFont="1" applyBorder="1" applyAlignment="1">
      <alignment horizontal="right" vertical="center"/>
    </xf>
    <xf numFmtId="166" fontId="6" fillId="0" borderId="1" xfId="0" applyNumberFormat="1" applyFont="1" applyBorder="1" applyAlignment="1">
      <alignment horizontal="right" vertical="center"/>
    </xf>
    <xf numFmtId="166" fontId="6" fillId="0" borderId="1" xfId="0" applyNumberFormat="1" applyFont="1" applyBorder="1" applyAlignment="1">
      <alignment vertical="center"/>
    </xf>
    <xf numFmtId="167" fontId="7" fillId="0" borderId="1" xfId="0" applyNumberFormat="1" applyFont="1" applyBorder="1" applyAlignment="1">
      <alignment horizontal="right" vertical="center"/>
    </xf>
    <xf numFmtId="0" fontId="7" fillId="0" borderId="1" xfId="0" applyFont="1" applyBorder="1" applyAlignment="1">
      <alignment horizontal="right" vertical="center"/>
    </xf>
    <xf numFmtId="0" fontId="10" fillId="0" borderId="1" xfId="0" applyFont="1" applyBorder="1" applyAlignment="1">
      <alignment vertical="center"/>
    </xf>
    <xf numFmtId="0" fontId="1" fillId="3" borderId="0" xfId="0" applyFont="1" applyFill="1" applyAlignment="1">
      <alignment vertical="center"/>
    </xf>
    <xf numFmtId="0" fontId="8" fillId="3" borderId="0" xfId="0" applyFont="1" applyFill="1" applyAlignment="1">
      <alignment vertical="center"/>
    </xf>
    <xf numFmtId="0" fontId="0" fillId="3" borderId="0" xfId="0" applyFill="1"/>
    <xf numFmtId="0" fontId="3" fillId="3" borderId="0" xfId="0" applyFont="1" applyFill="1" applyAlignment="1">
      <alignment vertical="center"/>
    </xf>
    <xf numFmtId="0" fontId="2" fillId="3" borderId="0" xfId="0" applyFont="1" applyFill="1" applyAlignment="1">
      <alignment vertical="center"/>
    </xf>
    <xf numFmtId="0" fontId="6" fillId="3" borderId="1" xfId="0" applyFont="1" applyFill="1" applyBorder="1" applyAlignment="1">
      <alignment horizontal="center" vertical="center" wrapText="1"/>
    </xf>
    <xf numFmtId="0" fontId="7" fillId="3" borderId="1" xfId="0" applyFont="1" applyFill="1" applyBorder="1" applyAlignment="1">
      <alignment horizontal="right" vertical="center"/>
    </xf>
    <xf numFmtId="0" fontId="7" fillId="3" borderId="1" xfId="0" applyFont="1" applyFill="1" applyBorder="1" applyAlignment="1">
      <alignment vertical="center"/>
    </xf>
    <xf numFmtId="166" fontId="7" fillId="3" borderId="1" xfId="0" applyNumberFormat="1" applyFont="1" applyFill="1" applyBorder="1" applyAlignment="1">
      <alignment horizontal="right" vertical="center"/>
    </xf>
    <xf numFmtId="165" fontId="7" fillId="3" borderId="1" xfId="0" applyNumberFormat="1" applyFont="1" applyFill="1" applyBorder="1" applyAlignment="1">
      <alignment horizontal="right" vertical="center"/>
    </xf>
    <xf numFmtId="0" fontId="7" fillId="3" borderId="1" xfId="0" applyFont="1" applyFill="1" applyBorder="1" applyAlignment="1">
      <alignment vertical="center" wrapText="1"/>
    </xf>
    <xf numFmtId="0" fontId="6" fillId="3" borderId="1" xfId="0" applyFont="1" applyFill="1" applyBorder="1" applyAlignment="1">
      <alignment vertical="center"/>
    </xf>
    <xf numFmtId="166" fontId="6" fillId="3" borderId="1" xfId="0" applyNumberFormat="1" applyFont="1" applyFill="1" applyBorder="1" applyAlignment="1">
      <alignment horizontal="right" vertical="center"/>
    </xf>
    <xf numFmtId="165" fontId="6" fillId="3" borderId="1" xfId="0" applyNumberFormat="1" applyFont="1" applyFill="1" applyBorder="1" applyAlignment="1">
      <alignment horizontal="right" vertical="center"/>
    </xf>
    <xf numFmtId="0" fontId="6" fillId="3" borderId="1" xfId="0" applyFont="1" applyFill="1" applyBorder="1" applyAlignment="1">
      <alignment vertical="center" wrapText="1"/>
    </xf>
    <xf numFmtId="164" fontId="6" fillId="3" borderId="1" xfId="0" applyNumberFormat="1" applyFont="1" applyFill="1" applyBorder="1" applyAlignment="1">
      <alignment horizontal="right" vertical="center" wrapText="1"/>
    </xf>
    <xf numFmtId="165" fontId="6" fillId="3" borderId="1" xfId="0" applyNumberFormat="1" applyFont="1" applyFill="1" applyBorder="1" applyAlignment="1">
      <alignment horizontal="right" vertical="center" wrapText="1"/>
    </xf>
    <xf numFmtId="164" fontId="7" fillId="3" borderId="1" xfId="0" applyNumberFormat="1" applyFont="1" applyFill="1" applyBorder="1" applyAlignment="1">
      <alignment horizontal="right" vertical="center" wrapText="1"/>
    </xf>
    <xf numFmtId="165" fontId="7" fillId="3" borderId="1" xfId="0" applyNumberFormat="1" applyFont="1" applyFill="1" applyBorder="1" applyAlignment="1">
      <alignment horizontal="right" vertical="center" wrapText="1"/>
    </xf>
    <xf numFmtId="0" fontId="6" fillId="3" borderId="2" xfId="0" applyFont="1" applyFill="1" applyBorder="1" applyAlignment="1">
      <alignment vertical="center" wrapText="1"/>
    </xf>
    <xf numFmtId="164" fontId="6" fillId="3" borderId="2" xfId="0" applyNumberFormat="1" applyFont="1" applyFill="1" applyBorder="1" applyAlignment="1">
      <alignment horizontal="right" vertical="center" wrapText="1"/>
    </xf>
    <xf numFmtId="165" fontId="6" fillId="3" borderId="2" xfId="0" applyNumberFormat="1" applyFont="1" applyFill="1" applyBorder="1" applyAlignment="1">
      <alignment horizontal="right" vertical="center" wrapText="1"/>
    </xf>
    <xf numFmtId="0" fontId="7" fillId="3" borderId="2" xfId="0" applyFont="1" applyFill="1" applyBorder="1" applyAlignment="1">
      <alignment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2" fillId="3" borderId="0" xfId="0" applyFont="1" applyFill="1" applyAlignment="1">
      <alignment vertical="center" wrapText="1"/>
    </xf>
    <xf numFmtId="0" fontId="0" fillId="0" borderId="0" xfId="0" applyAlignment="1">
      <alignment wrapText="1"/>
    </xf>
    <xf numFmtId="0" fontId="0" fillId="3" borderId="0" xfId="0" applyFill="1" applyAlignment="1">
      <alignment wrapText="1"/>
    </xf>
  </cellXfs>
  <cellStyles count="1">
    <cellStyle name="Normal" xfId="0" builtinId="0"/>
  </cellStyles>
  <dxfs count="50">
    <dxf>
      <fill>
        <patternFill patternType="solid">
          <fgColor indexed="64"/>
          <bgColor theme="0"/>
        </patternFill>
      </fill>
      <alignment wrapText="1"/>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ont>
        <b/>
        <color rgb="FF9C0006"/>
      </font>
      <fill>
        <patternFill>
          <bgColor rgb="FFFCE4D6"/>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
      <font>
        <u val="none"/>
        <color auto="1"/>
      </font>
      <fill>
        <patternFill patternType="solid">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1165860</xdr:colOff>
      <xdr:row>16</xdr:row>
      <xdr:rowOff>7620</xdr:rowOff>
    </xdr:to>
    <xdr:sp macro="" textlink="">
      <xdr:nvSpPr>
        <xdr:cNvPr id="1030" name="Text Box 6" hidden="1">
          <a:extLst>
            <a:ext uri="{FF2B5EF4-FFF2-40B4-BE49-F238E27FC236}">
              <a16:creationId xmlns:a16="http://schemas.microsoft.com/office/drawing/2014/main" id="{57F5E0B5-215F-E624-FD57-CA800EB640BA}"/>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1165860</xdr:colOff>
      <xdr:row>17</xdr:row>
      <xdr:rowOff>30480</xdr:rowOff>
    </xdr:to>
    <xdr:sp macro="" textlink="">
      <xdr:nvSpPr>
        <xdr:cNvPr id="2050" name="Text Box 2" hidden="1">
          <a:extLst>
            <a:ext uri="{FF2B5EF4-FFF2-40B4-BE49-F238E27FC236}">
              <a16:creationId xmlns:a16="http://schemas.microsoft.com/office/drawing/2014/main" id="{2F8D373C-B30C-6D02-13B0-B27C707B8B87}"/>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1165860</xdr:colOff>
      <xdr:row>19</xdr:row>
      <xdr:rowOff>434340</xdr:rowOff>
    </xdr:to>
    <xdr:sp macro="" textlink="">
      <xdr:nvSpPr>
        <xdr:cNvPr id="3074" name="Text Box 2" hidden="1">
          <a:extLst>
            <a:ext uri="{FF2B5EF4-FFF2-40B4-BE49-F238E27FC236}">
              <a16:creationId xmlns:a16="http://schemas.microsoft.com/office/drawing/2014/main" id="{84AB99F0-E38E-6353-B6D9-04D8333B0CA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419100</xdr:colOff>
      <xdr:row>27</xdr:row>
      <xdr:rowOff>259080</xdr:rowOff>
    </xdr:to>
    <xdr:sp macro="" textlink="">
      <xdr:nvSpPr>
        <xdr:cNvPr id="4110" name="Text Box 14" hidden="1">
          <a:extLst>
            <a:ext uri="{FF2B5EF4-FFF2-40B4-BE49-F238E27FC236}">
              <a16:creationId xmlns:a16="http://schemas.microsoft.com/office/drawing/2014/main" id="{0FAF5E4A-960A-BCA9-3B0F-AB36567EAB1F}"/>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nkedBranchSales2025" displayName="RankedBranchSales2025" ref="B6:AC75" totalsRowShown="0" dataDxfId="49">
  <autoFilter ref="B6:AC75" xr:uid="{00000000-0009-0000-0100-000001000000}"/>
  <tableColumns count="28">
    <tableColumn id="1" xr3:uid="{00000000-0010-0000-0000-000001000000}" name="Rank" dataDxfId="48"/>
    <tableColumn id="2" xr3:uid="{00000000-0010-0000-0000-000002000000}" name="Branch" dataDxfId="47"/>
    <tableColumn id="3" xr3:uid="{00000000-0010-0000-0000-000003000000}" name="January sales" dataDxfId="46"/>
    <tableColumn id="4" xr3:uid="{00000000-0010-0000-0000-000004000000}" name="January %" dataDxfId="45"/>
    <tableColumn id="5" xr3:uid="{00000000-0010-0000-0000-000005000000}" name="February sales" dataDxfId="44"/>
    <tableColumn id="6" xr3:uid="{00000000-0010-0000-0000-000006000000}" name="February %" dataDxfId="43"/>
    <tableColumn id="7" xr3:uid="{00000000-0010-0000-0000-000007000000}" name="March sales" dataDxfId="42"/>
    <tableColumn id="8" xr3:uid="{00000000-0010-0000-0000-000008000000}" name="March %" dataDxfId="41"/>
    <tableColumn id="9" xr3:uid="{00000000-0010-0000-0000-000009000000}" name="April sales" dataDxfId="40"/>
    <tableColumn id="10" xr3:uid="{00000000-0010-0000-0000-00000A000000}" name="April %" dataDxfId="39"/>
    <tableColumn id="11" xr3:uid="{00000000-0010-0000-0000-00000B000000}" name="May sales" dataDxfId="38"/>
    <tableColumn id="12" xr3:uid="{00000000-0010-0000-0000-00000C000000}" name="May %" dataDxfId="37"/>
    <tableColumn id="13" xr3:uid="{00000000-0010-0000-0000-00000D000000}" name="June sales" dataDxfId="36"/>
    <tableColumn id="14" xr3:uid="{00000000-0010-0000-0000-00000E000000}" name="June %" dataDxfId="35"/>
    <tableColumn id="15" xr3:uid="{00000000-0010-0000-0000-00000F000000}" name="July sales" dataDxfId="34"/>
    <tableColumn id="16" xr3:uid="{00000000-0010-0000-0000-000010000000}" name="July %" dataDxfId="33"/>
    <tableColumn id="17" xr3:uid="{00000000-0010-0000-0000-000011000000}" name="August sales" dataDxfId="32"/>
    <tableColumn id="18" xr3:uid="{00000000-0010-0000-0000-000012000000}" name="August %" dataDxfId="31"/>
    <tableColumn id="19" xr3:uid="{00000000-0010-0000-0000-000013000000}" name="September sales" dataDxfId="30"/>
    <tableColumn id="20" xr3:uid="{00000000-0010-0000-0000-000014000000}" name="September %" dataDxfId="29"/>
    <tableColumn id="21" xr3:uid="{00000000-0010-0000-0000-000015000000}" name="October sales" dataDxfId="28"/>
    <tableColumn id="22" xr3:uid="{00000000-0010-0000-0000-000016000000}" name="October %" dataDxfId="27"/>
    <tableColumn id="23" xr3:uid="{00000000-0010-0000-0000-000017000000}" name="November sales" dataDxfId="26"/>
    <tableColumn id="24" xr3:uid="{00000000-0010-0000-0000-000018000000}" name="November %" dataDxfId="25"/>
    <tableColumn id="25" xr3:uid="{00000000-0010-0000-0000-000019000000}" name="December sales" dataDxfId="24"/>
    <tableColumn id="26" xr3:uid="{00000000-0010-0000-0000-00001A000000}" name="December %" dataDxfId="23"/>
    <tableColumn id="27" xr3:uid="{00000000-0010-0000-0000-00001B000000}" name="Total sales 2025" dataDxfId="22"/>
    <tableColumn id="28" xr3:uid="{00000000-0010-0000-0000-00001C000000}" name="% of annual sales" dataDxfId="21"/>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nkedMonthlySales2025" displayName="RankedMonthlySales2025" ref="B5:G17" totalsRowShown="0" headerRowDxfId="15" dataDxfId="14">
  <autoFilter ref="B5:G17" xr:uid="{00000000-0009-0000-0100-000002000000}"/>
  <tableColumns count="6">
    <tableColumn id="1" xr3:uid="{00000000-0010-0000-0100-000001000000}" name="Rank" dataDxfId="20"/>
    <tableColumn id="2" xr3:uid="{00000000-0010-0000-0100-000002000000}" name="Month" dataDxfId="19"/>
    <tableColumn id="3" xr3:uid="{00000000-0010-0000-0100-000003000000}" name="Sales (KSh)" dataDxfId="18"/>
    <tableColumn id="4" xr3:uid="{00000000-0010-0000-0100-000004000000}" name="% of annual sales" dataDxfId="17"/>
    <tableColumn id="5" xr3:uid="{00000000-0010-0000-0100-000005000000}" name="Month-on-month %" dataDxfId="16"/>
    <tableColumn id="6" xr3:uid="{00000000-0010-0000-0100-000006000000}" name="Remarks" dataDxfId="0"/>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drawing" Target="../drawings/drawing4.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B2:J98"/>
  <sheetViews>
    <sheetView workbookViewId="0">
      <pane xSplit="2" ySplit="4" topLeftCell="H13" activePane="bottomRight" state="frozen"/>
      <selection pane="topRight"/>
      <selection pane="bottomLeft"/>
      <selection pane="bottomRight" activeCell="H13" sqref="H13"/>
    </sheetView>
  </sheetViews>
  <sheetFormatPr defaultRowHeight="13.8"/>
  <cols>
    <col min="1" max="1" width="2.5" style="30" customWidth="1"/>
    <col min="2" max="2" width="57" style="30" customWidth="1"/>
    <col min="3" max="5" width="8.3984375" style="30" customWidth="1"/>
    <col min="6" max="8" width="20" style="30" customWidth="1"/>
    <col min="9" max="9" width="15" style="30" customWidth="1"/>
    <col min="10" max="10" width="55" style="30" customWidth="1"/>
    <col min="11" max="11" width="3" style="30" customWidth="1"/>
    <col min="12" max="12" width="112" style="30" customWidth="1"/>
    <col min="13" max="16384" width="8.796875" style="30"/>
  </cols>
  <sheetData>
    <row r="2" spans="2:10" ht="25.05" customHeight="1">
      <c r="B2" s="28" t="s">
        <v>0</v>
      </c>
      <c r="C2" s="32"/>
      <c r="D2" s="32"/>
      <c r="E2" s="32"/>
      <c r="F2" s="32"/>
      <c r="G2" s="32"/>
      <c r="H2" s="32"/>
      <c r="I2" s="32"/>
      <c r="J2" s="32"/>
    </row>
    <row r="3" spans="2:10" ht="25.05" customHeight="1" thickBot="1">
      <c r="B3" s="29" t="s">
        <v>62</v>
      </c>
      <c r="C3" s="32"/>
      <c r="D3" s="32"/>
      <c r="E3" s="32"/>
      <c r="F3" s="32"/>
      <c r="G3" s="32"/>
      <c r="H3" s="32"/>
      <c r="I3" s="32"/>
      <c r="J3" s="32"/>
    </row>
    <row r="4" spans="2:10" ht="30" customHeight="1" thickBot="1">
      <c r="B4" s="51" t="s">
        <v>1</v>
      </c>
      <c r="C4" s="52"/>
      <c r="D4" s="52"/>
      <c r="E4" s="52"/>
      <c r="F4" s="52" t="s">
        <v>2</v>
      </c>
      <c r="G4" s="52" t="s">
        <v>3</v>
      </c>
      <c r="H4" s="52" t="s">
        <v>4</v>
      </c>
      <c r="I4" s="52" t="s">
        <v>5</v>
      </c>
      <c r="J4" s="53" t="s">
        <v>63</v>
      </c>
    </row>
    <row r="5" spans="2:10" ht="69">
      <c r="B5" s="47" t="s">
        <v>64</v>
      </c>
      <c r="C5" s="47"/>
      <c r="D5" s="47"/>
      <c r="E5" s="47"/>
      <c r="F5" s="48">
        <f>ROUND(SUM('Profit and Loss'!F6,'Profit and Loss'!F7,'Profit and Loss'!F8),0)</f>
        <v>4053112</v>
      </c>
      <c r="G5" s="48">
        <f>ROUND(SUM('Profit and Loss'!G6,'Profit and Loss'!G7,'Profit and Loss'!G8),0)</f>
        <v>4345651</v>
      </c>
      <c r="H5" s="48">
        <f>G5-F5</f>
        <v>292539</v>
      </c>
      <c r="I5" s="49">
        <f>IF(F5=0,"",H5/ABS(F5))</f>
        <v>7.2176391868766523E-2</v>
      </c>
      <c r="J5" s="50" t="s">
        <v>303</v>
      </c>
    </row>
    <row r="6" spans="2:10" ht="69">
      <c r="B6" s="38" t="s">
        <v>65</v>
      </c>
      <c r="C6" s="38"/>
      <c r="D6" s="38"/>
      <c r="E6" s="38"/>
      <c r="F6" s="45">
        <v>2750555.486</v>
      </c>
      <c r="G6" s="45">
        <v>2829226.9750000001</v>
      </c>
      <c r="H6" s="45">
        <f>G6-F6</f>
        <v>78671.48900000006</v>
      </c>
      <c r="I6" s="46">
        <f>IF(F6=0,"",H6/ABS(F6))</f>
        <v>2.8602036716011938E-2</v>
      </c>
      <c r="J6" s="38" t="s">
        <v>304</v>
      </c>
    </row>
    <row r="7" spans="2:10" ht="69">
      <c r="B7" s="38" t="s">
        <v>66</v>
      </c>
      <c r="C7" s="38"/>
      <c r="D7" s="38"/>
      <c r="E7" s="38"/>
      <c r="F7" s="45">
        <v>1294302.4569999999</v>
      </c>
      <c r="G7" s="45">
        <v>1502985.2590000001</v>
      </c>
      <c r="H7" s="45">
        <f>G7-F7</f>
        <v>208682.80200000014</v>
      </c>
      <c r="I7" s="46">
        <f>IF(F7=0,"",H7/ABS(F7))</f>
        <v>0.16123186730534048</v>
      </c>
      <c r="J7" s="38" t="s">
        <v>305</v>
      </c>
    </row>
    <row r="8" spans="2:10" ht="69">
      <c r="B8" s="38" t="s">
        <v>67</v>
      </c>
      <c r="C8" s="38"/>
      <c r="D8" s="38"/>
      <c r="E8" s="38"/>
      <c r="F8" s="45">
        <v>8253.7510000000002</v>
      </c>
      <c r="G8" s="45">
        <v>13438.509999999998</v>
      </c>
      <c r="H8" s="45">
        <f>G8-F8</f>
        <v>5184.7589999999982</v>
      </c>
      <c r="I8" s="46">
        <f>IF(F8=0,"",H8/ABS(F8))</f>
        <v>0.62817002839072777</v>
      </c>
      <c r="J8" s="38" t="s">
        <v>306</v>
      </c>
    </row>
    <row r="9" spans="2:10">
      <c r="B9" s="38"/>
      <c r="C9" s="38"/>
      <c r="D9" s="38"/>
      <c r="E9" s="38"/>
      <c r="F9" s="45"/>
      <c r="G9" s="45"/>
      <c r="H9" s="45"/>
      <c r="I9" s="46"/>
      <c r="J9" s="38"/>
    </row>
    <row r="10" spans="2:10" ht="69">
      <c r="B10" s="42" t="s">
        <v>68</v>
      </c>
      <c r="C10" s="42"/>
      <c r="D10" s="42"/>
      <c r="E10" s="42"/>
      <c r="F10" s="43">
        <f>-ROUND('Schedule of Expenses'!F11,0)</f>
        <v>-2026099</v>
      </c>
      <c r="G10" s="43">
        <f>-ROUND('Schedule of Expenses'!G11,0)</f>
        <v>-2067896</v>
      </c>
      <c r="H10" s="43">
        <f t="shared" ref="H10:H16" si="0">G10-F10</f>
        <v>-41797</v>
      </c>
      <c r="I10" s="44">
        <f t="shared" ref="I10:I16" si="1">IF(F10=0,"",H10/ABS(F10))</f>
        <v>-2.0629297976061386E-2</v>
      </c>
      <c r="J10" s="38" t="s">
        <v>307</v>
      </c>
    </row>
    <row r="11" spans="2:10" ht="55.2">
      <c r="B11" s="38" t="s">
        <v>69</v>
      </c>
      <c r="C11" s="38"/>
      <c r="D11" s="38"/>
      <c r="E11" s="38"/>
      <c r="F11" s="45">
        <f>-'Schedule of Expenses'!F6</f>
        <v>-1460153.8330000001</v>
      </c>
      <c r="G11" s="45">
        <f>-'Schedule of Expenses'!G6</f>
        <v>-1496095.1510000001</v>
      </c>
      <c r="H11" s="45">
        <f t="shared" si="0"/>
        <v>-35941.31799999997</v>
      </c>
      <c r="I11" s="46">
        <f t="shared" si="1"/>
        <v>-2.4614747561327647E-2</v>
      </c>
      <c r="J11" s="38" t="s">
        <v>308</v>
      </c>
    </row>
    <row r="12" spans="2:10" ht="55.2">
      <c r="B12" s="38" t="s">
        <v>70</v>
      </c>
      <c r="C12" s="38"/>
      <c r="D12" s="38"/>
      <c r="E12" s="38"/>
      <c r="F12" s="45">
        <f>-'Schedule of Expenses'!F7</f>
        <v>-233482.13099999999</v>
      </c>
      <c r="G12" s="45">
        <f>-'Schedule of Expenses'!G7</f>
        <v>-226081.31099999999</v>
      </c>
      <c r="H12" s="45">
        <f t="shared" si="0"/>
        <v>7400.820000000007</v>
      </c>
      <c r="I12" s="46">
        <f t="shared" si="1"/>
        <v>3.1697586313361205E-2</v>
      </c>
      <c r="J12" s="38" t="s">
        <v>309</v>
      </c>
    </row>
    <row r="13" spans="2:10" ht="55.2">
      <c r="B13" s="38" t="s">
        <v>71</v>
      </c>
      <c r="C13" s="38"/>
      <c r="D13" s="38"/>
      <c r="E13" s="38"/>
      <c r="F13" s="45">
        <f>-'Schedule of Expenses'!F8</f>
        <v>-45877.085999999981</v>
      </c>
      <c r="G13" s="45">
        <f>-'Schedule of Expenses'!G8</f>
        <v>-43082.722999999991</v>
      </c>
      <c r="H13" s="45">
        <f t="shared" si="0"/>
        <v>2794.3629999999903</v>
      </c>
      <c r="I13" s="46">
        <f t="shared" si="1"/>
        <v>6.090977530700166E-2</v>
      </c>
      <c r="J13" s="38" t="s">
        <v>310</v>
      </c>
    </row>
    <row r="14" spans="2:10" ht="55.2">
      <c r="B14" s="38" t="s">
        <v>72</v>
      </c>
      <c r="C14" s="38"/>
      <c r="D14" s="38"/>
      <c r="E14" s="38"/>
      <c r="F14" s="45">
        <f>-'Schedule of Expenses'!F9</f>
        <v>-83870.664000000004</v>
      </c>
      <c r="G14" s="45">
        <f>-'Schedule of Expenses'!G9</f>
        <v>-78766.513999999996</v>
      </c>
      <c r="H14" s="45">
        <f t="shared" si="0"/>
        <v>5104.1500000000087</v>
      </c>
      <c r="I14" s="46">
        <f t="shared" si="1"/>
        <v>6.0857393474314313E-2</v>
      </c>
      <c r="J14" s="38" t="s">
        <v>311</v>
      </c>
    </row>
    <row r="15" spans="2:10" ht="55.2">
      <c r="B15" s="38" t="s">
        <v>73</v>
      </c>
      <c r="C15" s="38"/>
      <c r="D15" s="38"/>
      <c r="E15" s="38"/>
      <c r="F15" s="45">
        <f>-'Schedule of Expenses'!F10</f>
        <v>-202715.31400000001</v>
      </c>
      <c r="G15" s="45">
        <f>-'Schedule of Expenses'!G10</f>
        <v>-223870.535</v>
      </c>
      <c r="H15" s="45">
        <f t="shared" si="0"/>
        <v>-21155.22099999999</v>
      </c>
      <c r="I15" s="46">
        <f t="shared" si="1"/>
        <v>-0.10435926414518436</v>
      </c>
      <c r="J15" s="38" t="s">
        <v>312</v>
      </c>
    </row>
    <row r="16" spans="2:10" ht="55.2">
      <c r="B16" s="42" t="s">
        <v>74</v>
      </c>
      <c r="C16" s="42"/>
      <c r="D16" s="42"/>
      <c r="E16" s="42"/>
      <c r="F16" s="43">
        <f>SUM('Profit and Loss'!F5,'Profit and Loss'!F10)</f>
        <v>2027013</v>
      </c>
      <c r="G16" s="43">
        <f>SUM('Profit and Loss'!G5,'Profit and Loss'!G10)</f>
        <v>2277755</v>
      </c>
      <c r="H16" s="43">
        <f t="shared" si="0"/>
        <v>250742</v>
      </c>
      <c r="I16" s="44">
        <f t="shared" si="1"/>
        <v>0.12370024267234596</v>
      </c>
      <c r="J16" s="38" t="s">
        <v>313</v>
      </c>
    </row>
    <row r="17" spans="2:10">
      <c r="B17" s="38"/>
      <c r="C17" s="38"/>
      <c r="D17" s="38"/>
      <c r="E17" s="38"/>
      <c r="F17" s="45"/>
      <c r="G17" s="45"/>
      <c r="H17" s="45"/>
      <c r="I17" s="46"/>
      <c r="J17" s="38"/>
    </row>
    <row r="18" spans="2:10" ht="55.2">
      <c r="B18" s="42" t="s">
        <v>75</v>
      </c>
      <c r="C18" s="42"/>
      <c r="D18" s="42"/>
      <c r="E18" s="42"/>
      <c r="F18" s="43">
        <f>SUM('Profit and Loss'!F19,'Profit and Loss'!F20)</f>
        <v>4815.1579999999994</v>
      </c>
      <c r="G18" s="43">
        <f>SUM('Profit and Loss'!G19,'Profit and Loss'!G20)</f>
        <v>1411.7819999999999</v>
      </c>
      <c r="H18" s="43">
        <f>G18-F18</f>
        <v>-3403.3759999999993</v>
      </c>
      <c r="I18" s="44">
        <f>IF(F18=0,"",H18/ABS(F18))</f>
        <v>-0.70680463652490733</v>
      </c>
      <c r="J18" s="38" t="s">
        <v>314</v>
      </c>
    </row>
    <row r="19" spans="2:10" ht="55.2">
      <c r="B19" s="38" t="s">
        <v>76</v>
      </c>
      <c r="C19" s="38"/>
      <c r="D19" s="38"/>
      <c r="E19" s="38"/>
      <c r="F19" s="45">
        <v>1260.674</v>
      </c>
      <c r="G19" s="45">
        <v>1411.7819999999999</v>
      </c>
      <c r="H19" s="45">
        <f>G19-F19</f>
        <v>151.10799999999995</v>
      </c>
      <c r="I19" s="46">
        <f>IF(F19=0,"",H19/ABS(F19))</f>
        <v>0.1198628670060618</v>
      </c>
      <c r="J19" s="38" t="s">
        <v>315</v>
      </c>
    </row>
    <row r="20" spans="2:10" ht="55.2">
      <c r="B20" s="38" t="s">
        <v>77</v>
      </c>
      <c r="C20" s="38"/>
      <c r="D20" s="38"/>
      <c r="E20" s="38"/>
      <c r="F20" s="45">
        <v>3554.4839999999999</v>
      </c>
      <c r="G20" s="45">
        <v>0</v>
      </c>
      <c r="H20" s="45">
        <f>G20-F20</f>
        <v>-3554.4839999999999</v>
      </c>
      <c r="I20" s="46">
        <f>IF(F20=0,"",H20/ABS(F20))</f>
        <v>-1</v>
      </c>
      <c r="J20" s="38" t="s">
        <v>316</v>
      </c>
    </row>
    <row r="21" spans="2:10">
      <c r="B21" s="38"/>
      <c r="C21" s="38"/>
      <c r="D21" s="38"/>
      <c r="E21" s="38"/>
      <c r="F21" s="45"/>
      <c r="G21" s="45"/>
      <c r="H21" s="45"/>
      <c r="I21" s="46"/>
      <c r="J21" s="38"/>
    </row>
    <row r="22" spans="2:10" ht="69">
      <c r="B22" s="42" t="s">
        <v>78</v>
      </c>
      <c r="C22" s="42"/>
      <c r="D22" s="42"/>
      <c r="E22" s="42"/>
      <c r="F22" s="43">
        <f>-ROUND('Schedule of Expenses'!F16,0)</f>
        <v>-115182</v>
      </c>
      <c r="G22" s="43">
        <f>-ROUND('Schedule of Expenses'!G16,0)</f>
        <v>-154247</v>
      </c>
      <c r="H22" s="43">
        <f>G22-F22</f>
        <v>-39065</v>
      </c>
      <c r="I22" s="44">
        <f>IF(F22=0,"",H22/ABS(F22))</f>
        <v>-0.33915889635533331</v>
      </c>
      <c r="J22" s="38" t="s">
        <v>317</v>
      </c>
    </row>
    <row r="23" spans="2:10" ht="82.8">
      <c r="B23" s="38" t="s">
        <v>79</v>
      </c>
      <c r="C23" s="38"/>
      <c r="D23" s="38"/>
      <c r="E23" s="38"/>
      <c r="F23" s="45">
        <f>-'Schedule of Expenses'!F14</f>
        <v>-55650.826000000001</v>
      </c>
      <c r="G23" s="45">
        <f>-'Schedule of Expenses'!G14</f>
        <v>-81846.881999999998</v>
      </c>
      <c r="H23" s="45">
        <f>G23-F23</f>
        <v>-26196.055999999997</v>
      </c>
      <c r="I23" s="46">
        <f>IF(F23=0,"",H23/ABS(F23))</f>
        <v>-0.47072178227866729</v>
      </c>
      <c r="J23" s="38" t="s">
        <v>318</v>
      </c>
    </row>
    <row r="24" spans="2:10" ht="55.2">
      <c r="B24" s="38" t="s">
        <v>80</v>
      </c>
      <c r="C24" s="38"/>
      <c r="D24" s="38"/>
      <c r="E24" s="38"/>
      <c r="F24" s="45">
        <f>-'Schedule of Expenses'!F15</f>
        <v>-59531.207000000002</v>
      </c>
      <c r="G24" s="45">
        <f>-'Schedule of Expenses'!G15</f>
        <v>-72400.101999999999</v>
      </c>
      <c r="H24" s="45">
        <f>G24-F24</f>
        <v>-12868.894999999997</v>
      </c>
      <c r="I24" s="46">
        <f>IF(F24=0,"",H24/ABS(F24))</f>
        <v>-0.21617057084026528</v>
      </c>
      <c r="J24" s="38" t="s">
        <v>319</v>
      </c>
    </row>
    <row r="25" spans="2:10">
      <c r="B25" s="38"/>
      <c r="C25" s="38"/>
      <c r="D25" s="38"/>
      <c r="E25" s="38"/>
      <c r="F25" s="45"/>
      <c r="G25" s="45"/>
      <c r="H25" s="45"/>
      <c r="I25" s="46"/>
      <c r="J25" s="38"/>
    </row>
    <row r="26" spans="2:10" ht="69">
      <c r="B26" s="42" t="s">
        <v>81</v>
      </c>
      <c r="C26" s="42"/>
      <c r="D26" s="42"/>
      <c r="E26" s="42"/>
      <c r="F26" s="43">
        <f>-ROUND('Schedule of Expenses'!F53,0)</f>
        <v>-1000264</v>
      </c>
      <c r="G26" s="43">
        <f>-ROUND('Schedule of Expenses'!G53,0)</f>
        <v>-1157300</v>
      </c>
      <c r="H26" s="43">
        <f>G26-F26</f>
        <v>-157036</v>
      </c>
      <c r="I26" s="44">
        <f>IF(F26=0,"",H26/ABS(F26))</f>
        <v>-0.1569945534378924</v>
      </c>
      <c r="J26" s="38" t="s">
        <v>320</v>
      </c>
    </row>
    <row r="27" spans="2:10">
      <c r="B27" s="42" t="s">
        <v>82</v>
      </c>
      <c r="C27" s="42"/>
      <c r="D27" s="42"/>
      <c r="E27" s="42"/>
      <c r="F27" s="43"/>
      <c r="G27" s="43"/>
      <c r="H27" s="43"/>
      <c r="I27" s="44"/>
      <c r="J27" s="42"/>
    </row>
    <row r="28" spans="2:10" ht="69">
      <c r="B28" s="38" t="s">
        <v>83</v>
      </c>
      <c r="C28" s="38"/>
      <c r="D28" s="38"/>
      <c r="E28" s="38"/>
      <c r="F28" s="45">
        <f>-'Schedule of Expenses'!F20</f>
        <v>-745940.99949999992</v>
      </c>
      <c r="G28" s="45">
        <f>-'Schedule of Expenses'!G20</f>
        <v>-798708.53564999998</v>
      </c>
      <c r="H28" s="45">
        <f t="shared" ref="H28:H38" si="2">G28-F28</f>
        <v>-52767.536150000058</v>
      </c>
      <c r="I28" s="46">
        <f t="shared" ref="I28:I38" si="3">IF(F28=0,"",H28/ABS(F28))</f>
        <v>-7.0739557398466962E-2</v>
      </c>
      <c r="J28" s="38" t="s">
        <v>321</v>
      </c>
    </row>
    <row r="29" spans="2:10" ht="55.2">
      <c r="B29" s="38" t="s">
        <v>84</v>
      </c>
      <c r="C29" s="38"/>
      <c r="D29" s="38"/>
      <c r="E29" s="38"/>
      <c r="F29" s="45">
        <f>-'Schedule of Expenses'!F21</f>
        <v>-715425.49749999994</v>
      </c>
      <c r="G29" s="45">
        <f>-'Schedule of Expenses'!G21</f>
        <v>-761447.57864999992</v>
      </c>
      <c r="H29" s="45">
        <f t="shared" si="2"/>
        <v>-46022.081149999984</v>
      </c>
      <c r="I29" s="46">
        <f t="shared" si="3"/>
        <v>-6.4328265222333633E-2</v>
      </c>
      <c r="J29" s="38" t="s">
        <v>322</v>
      </c>
    </row>
    <row r="30" spans="2:10" ht="69">
      <c r="B30" s="38" t="s">
        <v>85</v>
      </c>
      <c r="C30" s="38"/>
      <c r="D30" s="38"/>
      <c r="E30" s="38"/>
      <c r="F30" s="45">
        <f>-'Schedule of Expenses'!F22</f>
        <v>-30515.502</v>
      </c>
      <c r="G30" s="45">
        <f>-'Schedule of Expenses'!G22</f>
        <v>-37260.957000000002</v>
      </c>
      <c r="H30" s="45">
        <f t="shared" si="2"/>
        <v>-6745.4550000000017</v>
      </c>
      <c r="I30" s="46">
        <f t="shared" si="3"/>
        <v>-0.22105010758138607</v>
      </c>
      <c r="J30" s="38" t="s">
        <v>323</v>
      </c>
    </row>
    <row r="31" spans="2:10" ht="55.2">
      <c r="B31" s="38" t="s">
        <v>86</v>
      </c>
      <c r="C31" s="38"/>
      <c r="D31" s="38"/>
      <c r="E31" s="38"/>
      <c r="F31" s="45">
        <f>-'Schedule of Expenses'!F23</f>
        <v>-9231.594000000001</v>
      </c>
      <c r="G31" s="45">
        <f>-'Schedule of Expenses'!G23</f>
        <v>-9970.8140000000003</v>
      </c>
      <c r="H31" s="45">
        <f t="shared" si="2"/>
        <v>-739.21999999999935</v>
      </c>
      <c r="I31" s="46">
        <f t="shared" si="3"/>
        <v>-8.0075011964347576E-2</v>
      </c>
      <c r="J31" s="38" t="s">
        <v>324</v>
      </c>
    </row>
    <row r="32" spans="2:10" ht="55.2">
      <c r="B32" s="38" t="s">
        <v>87</v>
      </c>
      <c r="C32" s="38"/>
      <c r="D32" s="38"/>
      <c r="E32" s="38"/>
      <c r="F32" s="45">
        <f>-'Schedule of Expenses'!F24</f>
        <v>-4975.7079999999996</v>
      </c>
      <c r="G32" s="45">
        <f>-'Schedule of Expenses'!G24</f>
        <v>-5053.6899999999996</v>
      </c>
      <c r="H32" s="45">
        <f t="shared" si="2"/>
        <v>-77.981999999999971</v>
      </c>
      <c r="I32" s="46">
        <f t="shared" si="3"/>
        <v>-1.5672543485268826E-2</v>
      </c>
      <c r="J32" s="38" t="s">
        <v>325</v>
      </c>
    </row>
    <row r="33" spans="2:10" ht="55.2">
      <c r="B33" s="38" t="s">
        <v>88</v>
      </c>
      <c r="C33" s="38"/>
      <c r="D33" s="38"/>
      <c r="E33" s="38"/>
      <c r="F33" s="45">
        <f>-'Schedule of Expenses'!F25</f>
        <v>-42533.02</v>
      </c>
      <c r="G33" s="45">
        <f>-'Schedule of Expenses'!G25</f>
        <v>-45581.237999999998</v>
      </c>
      <c r="H33" s="45">
        <f t="shared" si="2"/>
        <v>-3048.2180000000008</v>
      </c>
      <c r="I33" s="46">
        <f t="shared" si="3"/>
        <v>-7.1667095353210308E-2</v>
      </c>
      <c r="J33" s="38" t="s">
        <v>326</v>
      </c>
    </row>
    <row r="34" spans="2:10" ht="69">
      <c r="B34" s="38" t="s">
        <v>89</v>
      </c>
      <c r="C34" s="38"/>
      <c r="D34" s="38"/>
      <c r="E34" s="38"/>
      <c r="F34" s="45">
        <f>-'Schedule of Expenses'!F26</f>
        <v>-940.01599999999996</v>
      </c>
      <c r="G34" s="45">
        <f>-'Schedule of Expenses'!G26</f>
        <v>-4685.8980000000001</v>
      </c>
      <c r="H34" s="45">
        <f t="shared" si="2"/>
        <v>-3745.8820000000001</v>
      </c>
      <c r="I34" s="46">
        <f t="shared" si="3"/>
        <v>-3.9849130227570595</v>
      </c>
      <c r="J34" s="38" t="s">
        <v>327</v>
      </c>
    </row>
    <row r="35" spans="2:10" ht="69">
      <c r="B35" s="38" t="s">
        <v>90</v>
      </c>
      <c r="C35" s="38"/>
      <c r="D35" s="38"/>
      <c r="E35" s="38"/>
      <c r="F35" s="45">
        <f>-'Schedule of Expenses'!F27</f>
        <v>19101.286</v>
      </c>
      <c r="G35" s="45">
        <f>-'Schedule of Expenses'!G27</f>
        <v>-480.03399999999999</v>
      </c>
      <c r="H35" s="45">
        <f t="shared" si="2"/>
        <v>-19581.32</v>
      </c>
      <c r="I35" s="46">
        <f t="shared" si="3"/>
        <v>-1.0251309780922604</v>
      </c>
      <c r="J35" s="38" t="s">
        <v>328</v>
      </c>
    </row>
    <row r="36" spans="2:10" ht="55.2">
      <c r="B36" s="38" t="s">
        <v>91</v>
      </c>
      <c r="C36" s="38"/>
      <c r="D36" s="38"/>
      <c r="E36" s="38"/>
      <c r="F36" s="45">
        <f>-'Schedule of Expenses'!F28</f>
        <v>-4340.5200000000004</v>
      </c>
      <c r="G36" s="45">
        <f>-'Schedule of Expenses'!G28</f>
        <v>-5249.3090000000002</v>
      </c>
      <c r="H36" s="45">
        <f t="shared" si="2"/>
        <v>-908.78899999999976</v>
      </c>
      <c r="I36" s="46">
        <f t="shared" si="3"/>
        <v>-0.20937330089482359</v>
      </c>
      <c r="J36" s="38" t="s">
        <v>329</v>
      </c>
    </row>
    <row r="37" spans="2:10" ht="69">
      <c r="B37" s="38" t="s">
        <v>92</v>
      </c>
      <c r="C37" s="38"/>
      <c r="D37" s="38"/>
      <c r="E37" s="38"/>
      <c r="F37" s="45">
        <f>-'Schedule of Expenses'!F29</f>
        <v>0</v>
      </c>
      <c r="G37" s="45">
        <f>-'Schedule of Expenses'!G29</f>
        <v>-10022.322</v>
      </c>
      <c r="H37" s="45">
        <f t="shared" si="2"/>
        <v>-10022.322</v>
      </c>
      <c r="I37" s="46" t="str">
        <f t="shared" si="3"/>
        <v/>
      </c>
      <c r="J37" s="38" t="s">
        <v>330</v>
      </c>
    </row>
    <row r="38" spans="2:10" ht="69">
      <c r="B38" s="42" t="s">
        <v>93</v>
      </c>
      <c r="C38" s="42"/>
      <c r="D38" s="42"/>
      <c r="E38" s="42"/>
      <c r="F38" s="43">
        <f>-'Schedule of Expenses'!F30</f>
        <v>-788860.57149999996</v>
      </c>
      <c r="G38" s="43">
        <f>-'Schedule of Expenses'!G30</f>
        <v>-879751.84065000003</v>
      </c>
      <c r="H38" s="43">
        <f t="shared" si="2"/>
        <v>-90891.269150000066</v>
      </c>
      <c r="I38" s="44">
        <f t="shared" si="3"/>
        <v>-0.11521842063569288</v>
      </c>
      <c r="J38" s="38" t="s">
        <v>331</v>
      </c>
    </row>
    <row r="39" spans="2:10">
      <c r="B39" s="42" t="s">
        <v>94</v>
      </c>
      <c r="C39" s="42"/>
      <c r="D39" s="42"/>
      <c r="E39" s="42"/>
      <c r="F39" s="43"/>
      <c r="G39" s="43"/>
      <c r="H39" s="43"/>
      <c r="I39" s="44"/>
      <c r="J39" s="42"/>
    </row>
    <row r="40" spans="2:10" ht="55.2">
      <c r="B40" s="38" t="s">
        <v>95</v>
      </c>
      <c r="C40" s="38"/>
      <c r="D40" s="38"/>
      <c r="E40" s="38"/>
      <c r="F40" s="45">
        <f>-'Schedule of Expenses'!F33</f>
        <v>-47212.820500000002</v>
      </c>
      <c r="G40" s="45">
        <f>-'Schedule of Expenses'!G33</f>
        <v>-61535.099350000004</v>
      </c>
      <c r="H40" s="45">
        <f>G40-F40</f>
        <v>-14322.278850000002</v>
      </c>
      <c r="I40" s="46">
        <f>IF(F40=0,"",H40/ABS(F40))</f>
        <v>-0.30335571351853469</v>
      </c>
      <c r="J40" s="38" t="s">
        <v>332</v>
      </c>
    </row>
    <row r="41" spans="2:10" ht="55.2">
      <c r="B41" s="38" t="s">
        <v>96</v>
      </c>
      <c r="C41" s="38"/>
      <c r="D41" s="38"/>
      <c r="E41" s="38"/>
      <c r="F41" s="45">
        <f>-'Schedule of Expenses'!F34</f>
        <v>-4080</v>
      </c>
      <c r="G41" s="45">
        <f>-'Schedule of Expenses'!G34</f>
        <v>-7055.7</v>
      </c>
      <c r="H41" s="45">
        <f>G41-F41</f>
        <v>-2975.7</v>
      </c>
      <c r="I41" s="46">
        <f>IF(F41=0,"",H41/ABS(F41))</f>
        <v>-0.72933823529411757</v>
      </c>
      <c r="J41" s="38" t="s">
        <v>333</v>
      </c>
    </row>
    <row r="42" spans="2:10" ht="69">
      <c r="B42" s="38" t="s">
        <v>97</v>
      </c>
      <c r="C42" s="38"/>
      <c r="D42" s="38"/>
      <c r="E42" s="38"/>
      <c r="F42" s="45">
        <f>-'Schedule of Expenses'!F35</f>
        <v>-31278.777999999998</v>
      </c>
      <c r="G42" s="45">
        <f>-'Schedule of Expenses'!G35</f>
        <v>-56211.184000000001</v>
      </c>
      <c r="H42" s="45">
        <f>G42-F42</f>
        <v>-24932.406000000003</v>
      </c>
      <c r="I42" s="46">
        <f>IF(F42=0,"",H42/ABS(F42))</f>
        <v>-0.79710294308812202</v>
      </c>
      <c r="J42" s="38" t="s">
        <v>334</v>
      </c>
    </row>
    <row r="43" spans="2:10">
      <c r="B43" s="42" t="s">
        <v>98</v>
      </c>
      <c r="C43" s="42"/>
      <c r="D43" s="42"/>
      <c r="E43" s="42"/>
      <c r="F43" s="43"/>
      <c r="G43" s="43"/>
      <c r="H43" s="43"/>
      <c r="I43" s="44"/>
      <c r="J43" s="42"/>
    </row>
    <row r="44" spans="2:10" ht="55.2">
      <c r="B44" s="38" t="s">
        <v>99</v>
      </c>
      <c r="C44" s="38"/>
      <c r="D44" s="38"/>
      <c r="E44" s="38"/>
      <c r="F44" s="45">
        <f>-'Schedule of Expenses'!F37</f>
        <v>-3328.7550000000001</v>
      </c>
      <c r="G44" s="45">
        <f>-'Schedule of Expenses'!G37</f>
        <v>-4105.9139999999998</v>
      </c>
      <c r="H44" s="45">
        <f t="shared" ref="H44:H59" si="4">G44-F44</f>
        <v>-777.15899999999965</v>
      </c>
      <c r="I44" s="46">
        <f t="shared" ref="I44:I59" si="5">IF(F44=0,"",H44/ABS(F44))</f>
        <v>-0.23346836880455293</v>
      </c>
      <c r="J44" s="38" t="s">
        <v>335</v>
      </c>
    </row>
    <row r="45" spans="2:10" ht="55.2">
      <c r="B45" s="38" t="s">
        <v>100</v>
      </c>
      <c r="C45" s="38"/>
      <c r="D45" s="38"/>
      <c r="E45" s="38"/>
      <c r="F45" s="45">
        <f>-'Schedule of Expenses'!F38</f>
        <v>-15203.121999999999</v>
      </c>
      <c r="G45" s="45">
        <f>-'Schedule of Expenses'!G38</f>
        <v>-15463.742000000002</v>
      </c>
      <c r="H45" s="45">
        <f t="shared" si="4"/>
        <v>-260.62000000000262</v>
      </c>
      <c r="I45" s="46">
        <f t="shared" si="5"/>
        <v>-1.7142531645802924E-2</v>
      </c>
      <c r="J45" s="38" t="s">
        <v>336</v>
      </c>
    </row>
    <row r="46" spans="2:10" ht="55.2">
      <c r="B46" s="38" t="s">
        <v>101</v>
      </c>
      <c r="C46" s="38"/>
      <c r="D46" s="38"/>
      <c r="E46" s="38"/>
      <c r="F46" s="45">
        <f>-'Schedule of Expenses'!F39</f>
        <v>-17635.862000000001</v>
      </c>
      <c r="G46" s="45">
        <f>-'Schedule of Expenses'!G39</f>
        <v>-16174.117</v>
      </c>
      <c r="H46" s="45">
        <f t="shared" si="4"/>
        <v>1461.7450000000008</v>
      </c>
      <c r="I46" s="46">
        <f t="shared" si="5"/>
        <v>8.2884805970924513E-2</v>
      </c>
      <c r="J46" s="38" t="s">
        <v>337</v>
      </c>
    </row>
    <row r="47" spans="2:10" ht="69">
      <c r="B47" s="38" t="s">
        <v>102</v>
      </c>
      <c r="C47" s="38"/>
      <c r="D47" s="38"/>
      <c r="E47" s="38"/>
      <c r="F47" s="45">
        <f>-'Schedule of Expenses'!F40</f>
        <v>-1375.3489999999999</v>
      </c>
      <c r="G47" s="45">
        <f>-'Schedule of Expenses'!G40</f>
        <v>-5004.3999999999996</v>
      </c>
      <c r="H47" s="45">
        <f t="shared" si="4"/>
        <v>-3629.0509999999995</v>
      </c>
      <c r="I47" s="46">
        <f t="shared" si="5"/>
        <v>-2.6386400833533887</v>
      </c>
      <c r="J47" s="38" t="s">
        <v>338</v>
      </c>
    </row>
    <row r="48" spans="2:10" ht="69">
      <c r="B48" s="38" t="s">
        <v>103</v>
      </c>
      <c r="C48" s="38"/>
      <c r="D48" s="38"/>
      <c r="E48" s="38"/>
      <c r="F48" s="45">
        <f>-'Schedule of Expenses'!F41</f>
        <v>-22056.853000000003</v>
      </c>
      <c r="G48" s="45">
        <f>-'Schedule of Expenses'!G41</f>
        <v>-19606.944</v>
      </c>
      <c r="H48" s="45">
        <f t="shared" si="4"/>
        <v>2449.9090000000033</v>
      </c>
      <c r="I48" s="46">
        <f t="shared" si="5"/>
        <v>0.11107246351054717</v>
      </c>
      <c r="J48" s="38" t="s">
        <v>339</v>
      </c>
    </row>
    <row r="49" spans="2:10" ht="55.2">
      <c r="B49" s="38" t="s">
        <v>104</v>
      </c>
      <c r="C49" s="38"/>
      <c r="D49" s="38"/>
      <c r="E49" s="38"/>
      <c r="F49" s="45">
        <f>-'Schedule of Expenses'!F42</f>
        <v>-30178.225999999999</v>
      </c>
      <c r="G49" s="45">
        <f>-'Schedule of Expenses'!G42</f>
        <v>-46434.915999999997</v>
      </c>
      <c r="H49" s="45">
        <f t="shared" si="4"/>
        <v>-16256.689999999999</v>
      </c>
      <c r="I49" s="46">
        <f t="shared" si="5"/>
        <v>-0.53868938485648554</v>
      </c>
      <c r="J49" s="38" t="s">
        <v>340</v>
      </c>
    </row>
    <row r="50" spans="2:10" ht="69">
      <c r="B50" s="38" t="s">
        <v>105</v>
      </c>
      <c r="C50" s="38"/>
      <c r="D50" s="38"/>
      <c r="E50" s="38"/>
      <c r="F50" s="45">
        <f>-'Schedule of Expenses'!F43</f>
        <v>737.971</v>
      </c>
      <c r="G50" s="45">
        <f>-'Schedule of Expenses'!G43</f>
        <v>0</v>
      </c>
      <c r="H50" s="45">
        <f t="shared" si="4"/>
        <v>-737.971</v>
      </c>
      <c r="I50" s="46">
        <f t="shared" si="5"/>
        <v>-1</v>
      </c>
      <c r="J50" s="38" t="s">
        <v>341</v>
      </c>
    </row>
    <row r="51" spans="2:10" ht="55.2">
      <c r="B51" s="38" t="s">
        <v>106</v>
      </c>
      <c r="C51" s="38"/>
      <c r="D51" s="38"/>
      <c r="E51" s="38"/>
      <c r="F51" s="45">
        <f>-'Schedule of Expenses'!F44</f>
        <v>-11.941000000000001</v>
      </c>
      <c r="G51" s="45">
        <f>-'Schedule of Expenses'!G44</f>
        <v>-34.481000000000002</v>
      </c>
      <c r="H51" s="45">
        <f t="shared" si="4"/>
        <v>-22.54</v>
      </c>
      <c r="I51" s="46">
        <f t="shared" si="5"/>
        <v>-1.8876141026714679</v>
      </c>
      <c r="J51" s="38" t="s">
        <v>342</v>
      </c>
    </row>
    <row r="52" spans="2:10" ht="69">
      <c r="B52" s="38" t="s">
        <v>107</v>
      </c>
      <c r="C52" s="38"/>
      <c r="D52" s="38"/>
      <c r="E52" s="38"/>
      <c r="F52" s="45">
        <f>-'Schedule of Expenses'!F45</f>
        <v>804.75800000000004</v>
      </c>
      <c r="G52" s="45">
        <f>-'Schedule of Expenses'!G45</f>
        <v>-256.53500000000003</v>
      </c>
      <c r="H52" s="45">
        <f t="shared" si="4"/>
        <v>-1061.2930000000001</v>
      </c>
      <c r="I52" s="46">
        <f t="shared" si="5"/>
        <v>-1.3187728484836436</v>
      </c>
      <c r="J52" s="38" t="s">
        <v>343</v>
      </c>
    </row>
    <row r="53" spans="2:10" ht="69">
      <c r="B53" s="38" t="s">
        <v>108</v>
      </c>
      <c r="C53" s="38"/>
      <c r="D53" s="38"/>
      <c r="E53" s="38"/>
      <c r="F53" s="45">
        <f>-'Schedule of Expenses'!F46</f>
        <v>1947.2750000000001</v>
      </c>
      <c r="G53" s="45">
        <f>-'Schedule of Expenses'!G46</f>
        <v>-3617.7779999999998</v>
      </c>
      <c r="H53" s="45">
        <f t="shared" si="4"/>
        <v>-5565.0529999999999</v>
      </c>
      <c r="I53" s="46">
        <f t="shared" si="5"/>
        <v>-2.8578670192961959</v>
      </c>
      <c r="J53" s="38" t="s">
        <v>344</v>
      </c>
    </row>
    <row r="54" spans="2:10" ht="69">
      <c r="B54" s="38" t="s">
        <v>109</v>
      </c>
      <c r="C54" s="38"/>
      <c r="D54" s="38"/>
      <c r="E54" s="38"/>
      <c r="F54" s="45">
        <f>-'Schedule of Expenses'!F47</f>
        <v>-43925.823000000004</v>
      </c>
      <c r="G54" s="45">
        <f>-'Schedule of Expenses'!G47</f>
        <v>-44938.633999999998</v>
      </c>
      <c r="H54" s="45">
        <f t="shared" si="4"/>
        <v>-1012.8109999999942</v>
      </c>
      <c r="I54" s="46">
        <f t="shared" si="5"/>
        <v>-2.3057302762431887E-2</v>
      </c>
      <c r="J54" s="38" t="s">
        <v>345</v>
      </c>
    </row>
    <row r="55" spans="2:10" ht="55.2">
      <c r="B55" s="38" t="s">
        <v>110</v>
      </c>
      <c r="C55" s="38"/>
      <c r="D55" s="38"/>
      <c r="E55" s="38"/>
      <c r="F55" s="45">
        <f>-'Schedule of Expenses'!F48</f>
        <v>-681.68899999999996</v>
      </c>
      <c r="G55" s="45">
        <f>-'Schedule of Expenses'!G48</f>
        <v>0</v>
      </c>
      <c r="H55" s="45">
        <f t="shared" si="4"/>
        <v>681.68899999999996</v>
      </c>
      <c r="I55" s="46">
        <f t="shared" si="5"/>
        <v>1</v>
      </c>
      <c r="J55" s="38" t="s">
        <v>346</v>
      </c>
    </row>
    <row r="56" spans="2:10" ht="69">
      <c r="B56" s="38" t="s">
        <v>111</v>
      </c>
      <c r="C56" s="38"/>
      <c r="D56" s="38"/>
      <c r="E56" s="38"/>
      <c r="F56" s="45">
        <f>-'Schedule of Expenses'!F49</f>
        <v>-1107.7330000000002</v>
      </c>
      <c r="G56" s="45">
        <f>-'Schedule of Expenses'!G49</f>
        <v>-1768.0920000000001</v>
      </c>
      <c r="H56" s="45">
        <f t="shared" si="4"/>
        <v>-660.35899999999992</v>
      </c>
      <c r="I56" s="46">
        <f t="shared" si="5"/>
        <v>-0.5961355308544567</v>
      </c>
      <c r="J56" s="38" t="s">
        <v>347</v>
      </c>
    </row>
    <row r="57" spans="2:10" ht="69">
      <c r="B57" s="38" t="s">
        <v>112</v>
      </c>
      <c r="C57" s="38"/>
      <c r="D57" s="38"/>
      <c r="E57" s="38"/>
      <c r="F57" s="45">
        <f>-'Schedule of Expenses'!F50</f>
        <v>1318.855</v>
      </c>
      <c r="G57" s="45">
        <f>-'Schedule of Expenses'!G50</f>
        <v>5490.3559999999998</v>
      </c>
      <c r="H57" s="45">
        <f t="shared" si="4"/>
        <v>4171.5010000000002</v>
      </c>
      <c r="I57" s="46">
        <f t="shared" si="5"/>
        <v>3.1629716686064806</v>
      </c>
      <c r="J57" s="38" t="s">
        <v>348</v>
      </c>
    </row>
    <row r="58" spans="2:10" ht="69">
      <c r="B58" s="38" t="s">
        <v>113</v>
      </c>
      <c r="C58" s="38"/>
      <c r="D58" s="38"/>
      <c r="E58" s="38"/>
      <c r="F58" s="45">
        <f>-'Schedule of Expenses'!F51</f>
        <v>1864.9075999999791</v>
      </c>
      <c r="G58" s="45">
        <f>-'Schedule of Expenses'!G51</f>
        <v>-830.67246999999531</v>
      </c>
      <c r="H58" s="45">
        <f t="shared" si="4"/>
        <v>-2695.5800699999745</v>
      </c>
      <c r="I58" s="46">
        <f t="shared" si="5"/>
        <v>-1.4454228563388367</v>
      </c>
      <c r="J58" s="38" t="s">
        <v>349</v>
      </c>
    </row>
    <row r="59" spans="2:10" ht="69">
      <c r="B59" s="42" t="s">
        <v>114</v>
      </c>
      <c r="C59" s="42"/>
      <c r="D59" s="42"/>
      <c r="E59" s="42"/>
      <c r="F59" s="43">
        <f>-'Schedule of Expenses'!F52</f>
        <v>-211403.18490000005</v>
      </c>
      <c r="G59" s="43">
        <f>-'Schedule of Expenses'!G52</f>
        <v>-277547.85281999991</v>
      </c>
      <c r="H59" s="43">
        <f t="shared" si="4"/>
        <v>-66144.667919999862</v>
      </c>
      <c r="I59" s="44">
        <f t="shared" si="5"/>
        <v>-0.31288397074664814</v>
      </c>
      <c r="J59" s="38" t="s">
        <v>350</v>
      </c>
    </row>
    <row r="60" spans="2:10">
      <c r="B60" s="38"/>
      <c r="C60" s="38"/>
      <c r="D60" s="38"/>
      <c r="E60" s="38"/>
      <c r="F60" s="45"/>
      <c r="G60" s="45"/>
      <c r="H60" s="45"/>
      <c r="I60" s="46"/>
      <c r="J60" s="38"/>
    </row>
    <row r="61" spans="2:10" ht="69">
      <c r="B61" s="42" t="s">
        <v>115</v>
      </c>
      <c r="C61" s="42"/>
      <c r="D61" s="42"/>
      <c r="E61" s="42"/>
      <c r="F61" s="43">
        <f>-ROUND('Schedule of Expenses'!F70,0)</f>
        <v>-756471</v>
      </c>
      <c r="G61" s="43">
        <f>-ROUND('Schedule of Expenses'!G70,0)</f>
        <v>-727746</v>
      </c>
      <c r="H61" s="43">
        <f t="shared" ref="H61:H76" si="6">G61-F61</f>
        <v>28725</v>
      </c>
      <c r="I61" s="44">
        <f t="shared" ref="I61:I76" si="7">IF(F61=0,"",H61/ABS(F61))</f>
        <v>3.7972374354073059E-2</v>
      </c>
      <c r="J61" s="38" t="s">
        <v>351</v>
      </c>
    </row>
    <row r="62" spans="2:10" ht="55.2">
      <c r="B62" s="38" t="s">
        <v>116</v>
      </c>
      <c r="C62" s="38"/>
      <c r="D62" s="38"/>
      <c r="E62" s="38"/>
      <c r="F62" s="45">
        <f>-'Schedule of Expenses'!F56</f>
        <v>-151640.19698481981</v>
      </c>
      <c r="G62" s="45">
        <f>-'Schedule of Expenses'!G56</f>
        <v>-162816.41400000002</v>
      </c>
      <c r="H62" s="45">
        <f t="shared" si="6"/>
        <v>-11176.217015180213</v>
      </c>
      <c r="I62" s="46">
        <f t="shared" si="7"/>
        <v>-7.3702205862334946E-2</v>
      </c>
      <c r="J62" s="38" t="s">
        <v>352</v>
      </c>
    </row>
    <row r="63" spans="2:10" ht="55.2">
      <c r="B63" s="38" t="s">
        <v>117</v>
      </c>
      <c r="C63" s="38"/>
      <c r="D63" s="38"/>
      <c r="E63" s="38"/>
      <c r="F63" s="45">
        <f>-'Schedule of Expenses'!F57</f>
        <v>33153.247984819798</v>
      </c>
      <c r="G63" s="45">
        <f>-'Schedule of Expenses'!G57</f>
        <v>29575.948</v>
      </c>
      <c r="H63" s="45">
        <f t="shared" si="6"/>
        <v>-3577.2999848197978</v>
      </c>
      <c r="I63" s="46">
        <f t="shared" si="7"/>
        <v>-0.10790194633291347</v>
      </c>
      <c r="J63" s="38" t="s">
        <v>353</v>
      </c>
    </row>
    <row r="64" spans="2:10" ht="55.2">
      <c r="B64" s="38" t="s">
        <v>118</v>
      </c>
      <c r="C64" s="38"/>
      <c r="D64" s="38"/>
      <c r="E64" s="38"/>
      <c r="F64" s="45">
        <f>-'Schedule of Expenses'!F58</f>
        <v>-75611.803</v>
      </c>
      <c r="G64" s="45">
        <f>-'Schedule of Expenses'!G58</f>
        <v>-90080.998999999996</v>
      </c>
      <c r="H64" s="45">
        <f t="shared" si="6"/>
        <v>-14469.195999999996</v>
      </c>
      <c r="I64" s="46">
        <f t="shared" si="7"/>
        <v>-0.19136160527741941</v>
      </c>
      <c r="J64" s="38" t="s">
        <v>354</v>
      </c>
    </row>
    <row r="65" spans="2:10" ht="55.2">
      <c r="B65" s="38" t="s">
        <v>119</v>
      </c>
      <c r="C65" s="38"/>
      <c r="D65" s="38"/>
      <c r="E65" s="38"/>
      <c r="F65" s="45">
        <f>-'Schedule of Expenses'!F59</f>
        <v>-20231.739000000001</v>
      </c>
      <c r="G65" s="45">
        <f>-'Schedule of Expenses'!G59</f>
        <v>-19863.963</v>
      </c>
      <c r="H65" s="45">
        <f t="shared" si="6"/>
        <v>367.77600000000166</v>
      </c>
      <c r="I65" s="46">
        <f t="shared" si="7"/>
        <v>1.8178170447928459E-2</v>
      </c>
      <c r="J65" s="38" t="s">
        <v>355</v>
      </c>
    </row>
    <row r="66" spans="2:10" ht="55.2">
      <c r="B66" s="38" t="s">
        <v>70</v>
      </c>
      <c r="C66" s="38"/>
      <c r="D66" s="38"/>
      <c r="E66" s="38"/>
      <c r="F66" s="45">
        <f>-'Schedule of Expenses'!F60</f>
        <v>0</v>
      </c>
      <c r="G66" s="45">
        <f>-'Schedule of Expenses'!G60</f>
        <v>0</v>
      </c>
      <c r="H66" s="45">
        <f t="shared" si="6"/>
        <v>0</v>
      </c>
      <c r="I66" s="46" t="str">
        <f t="shared" si="7"/>
        <v/>
      </c>
      <c r="J66" s="38" t="s">
        <v>356</v>
      </c>
    </row>
    <row r="67" spans="2:10" ht="55.2">
      <c r="B67" s="38" t="s">
        <v>120</v>
      </c>
      <c r="C67" s="38"/>
      <c r="D67" s="38"/>
      <c r="E67" s="38"/>
      <c r="F67" s="45">
        <f>-'Schedule of Expenses'!F61</f>
        <v>-26136.311000000002</v>
      </c>
      <c r="G67" s="45">
        <f>-'Schedule of Expenses'!G61</f>
        <v>-27715.085999999999</v>
      </c>
      <c r="H67" s="45">
        <f t="shared" si="6"/>
        <v>-1578.7749999999978</v>
      </c>
      <c r="I67" s="46">
        <f t="shared" si="7"/>
        <v>-6.0405425999101314E-2</v>
      </c>
      <c r="J67" s="38" t="s">
        <v>357</v>
      </c>
    </row>
    <row r="68" spans="2:10" ht="55.2">
      <c r="B68" s="38" t="s">
        <v>121</v>
      </c>
      <c r="C68" s="38"/>
      <c r="D68" s="38"/>
      <c r="E68" s="38"/>
      <c r="F68" s="45">
        <f>-'Schedule of Expenses'!F62</f>
        <v>-9697.866</v>
      </c>
      <c r="G68" s="45">
        <f>-'Schedule of Expenses'!G62</f>
        <v>-12335.186</v>
      </c>
      <c r="H68" s="45">
        <f t="shared" si="6"/>
        <v>-2637.3199999999997</v>
      </c>
      <c r="I68" s="46">
        <f t="shared" si="7"/>
        <v>-0.27194848846127589</v>
      </c>
      <c r="J68" s="38" t="s">
        <v>358</v>
      </c>
    </row>
    <row r="69" spans="2:10" ht="55.2">
      <c r="B69" s="38" t="s">
        <v>122</v>
      </c>
      <c r="C69" s="38"/>
      <c r="D69" s="38"/>
      <c r="E69" s="38"/>
      <c r="F69" s="45">
        <f>-'Schedule of Expenses'!F63</f>
        <v>-42557.112999999998</v>
      </c>
      <c r="G69" s="45">
        <f>-'Schedule of Expenses'!G63</f>
        <v>-43723.411999999997</v>
      </c>
      <c r="H69" s="45">
        <f t="shared" si="6"/>
        <v>-1166.2989999999991</v>
      </c>
      <c r="I69" s="46">
        <f t="shared" si="7"/>
        <v>-2.7405500932358808E-2</v>
      </c>
      <c r="J69" s="38" t="s">
        <v>359</v>
      </c>
    </row>
    <row r="70" spans="2:10" ht="69">
      <c r="B70" s="38" t="s">
        <v>123</v>
      </c>
      <c r="C70" s="38"/>
      <c r="D70" s="38"/>
      <c r="E70" s="38"/>
      <c r="F70" s="45">
        <f>-'Schedule of Expenses'!F64</f>
        <v>47584.404999999999</v>
      </c>
      <c r="G70" s="45">
        <f>-'Schedule of Expenses'!G64</f>
        <v>-11198.99</v>
      </c>
      <c r="H70" s="45">
        <f t="shared" si="6"/>
        <v>-58783.394999999997</v>
      </c>
      <c r="I70" s="46">
        <f t="shared" si="7"/>
        <v>-1.2353500059525804</v>
      </c>
      <c r="J70" s="38" t="s">
        <v>360</v>
      </c>
    </row>
    <row r="71" spans="2:10" ht="69">
      <c r="B71" s="38" t="s">
        <v>124</v>
      </c>
      <c r="C71" s="38"/>
      <c r="D71" s="38"/>
      <c r="E71" s="38"/>
      <c r="F71" s="45">
        <f>-'Schedule of Expenses'!F65</f>
        <v>6604.3370000000004</v>
      </c>
      <c r="G71" s="45">
        <f>-'Schedule of Expenses'!G65</f>
        <v>91196.040999999997</v>
      </c>
      <c r="H71" s="45">
        <f t="shared" si="6"/>
        <v>84591.703999999998</v>
      </c>
      <c r="I71" s="46">
        <f t="shared" si="7"/>
        <v>12.808508106112694</v>
      </c>
      <c r="J71" s="38" t="s">
        <v>361</v>
      </c>
    </row>
    <row r="72" spans="2:10" ht="55.2">
      <c r="B72" s="38" t="s">
        <v>125</v>
      </c>
      <c r="C72" s="38"/>
      <c r="D72" s="38"/>
      <c r="E72" s="38"/>
      <c r="F72" s="45">
        <f>-'Schedule of Expenses'!F66</f>
        <v>-18500</v>
      </c>
      <c r="G72" s="45">
        <f>-'Schedule of Expenses'!G66</f>
        <v>0</v>
      </c>
      <c r="H72" s="45">
        <f t="shared" si="6"/>
        <v>18500</v>
      </c>
      <c r="I72" s="46">
        <f t="shared" si="7"/>
        <v>1</v>
      </c>
      <c r="J72" s="38" t="s">
        <v>362</v>
      </c>
    </row>
    <row r="73" spans="2:10" ht="69">
      <c r="B73" s="38" t="s">
        <v>126</v>
      </c>
      <c r="C73" s="38"/>
      <c r="D73" s="38"/>
      <c r="E73" s="38"/>
      <c r="F73" s="45">
        <f>-'Schedule of Expenses'!F67</f>
        <v>-1829.130000000001</v>
      </c>
      <c r="G73" s="45">
        <f>-'Schedule of Expenses'!G67</f>
        <v>-6184.9290000000001</v>
      </c>
      <c r="H73" s="45">
        <f t="shared" si="6"/>
        <v>-4355.7989999999991</v>
      </c>
      <c r="I73" s="46">
        <f t="shared" si="7"/>
        <v>-2.3813501500713437</v>
      </c>
      <c r="J73" s="38" t="s">
        <v>363</v>
      </c>
    </row>
    <row r="74" spans="2:10" ht="69">
      <c r="B74" s="38" t="s">
        <v>127</v>
      </c>
      <c r="C74" s="38"/>
      <c r="D74" s="38"/>
      <c r="E74" s="38"/>
      <c r="F74" s="45">
        <f>-'Schedule of Expenses'!F68</f>
        <v>-306058.05200000003</v>
      </c>
      <c r="G74" s="45">
        <f>-'Schedule of Expenses'!G68</f>
        <v>-297626.80700000003</v>
      </c>
      <c r="H74" s="45">
        <f t="shared" si="6"/>
        <v>8431.2449999999953</v>
      </c>
      <c r="I74" s="46">
        <f t="shared" si="7"/>
        <v>2.754786206376297E-2</v>
      </c>
      <c r="J74" s="38" t="s">
        <v>364</v>
      </c>
    </row>
    <row r="75" spans="2:10" ht="69">
      <c r="B75" s="38" t="s">
        <v>128</v>
      </c>
      <c r="C75" s="38"/>
      <c r="D75" s="38"/>
      <c r="E75" s="38"/>
      <c r="F75" s="45">
        <f>-'Schedule of Expenses'!F69</f>
        <v>-191550.535</v>
      </c>
      <c r="G75" s="45">
        <f>-'Schedule of Expenses'!G69</f>
        <v>-176972.41899999999</v>
      </c>
      <c r="H75" s="45">
        <f t="shared" si="6"/>
        <v>14578.116000000009</v>
      </c>
      <c r="I75" s="46">
        <f t="shared" si="7"/>
        <v>7.6105848516685212E-2</v>
      </c>
      <c r="J75" s="38" t="s">
        <v>365</v>
      </c>
    </row>
    <row r="76" spans="2:10" ht="69">
      <c r="B76" s="42" t="s">
        <v>129</v>
      </c>
      <c r="C76" s="42"/>
      <c r="D76" s="42"/>
      <c r="E76" s="42"/>
      <c r="F76" s="43">
        <f>SUM('Profit and Loss'!F16,'Profit and Loss'!F18,'Profit and Loss'!F22,'Profit and Loss'!F26,'Profit and Loss'!F61)</f>
        <v>159911.15800000005</v>
      </c>
      <c r="G76" s="43">
        <f>SUM('Profit and Loss'!G16,'Profit and Loss'!G18,'Profit and Loss'!G22,'Profit and Loss'!G26,'Profit and Loss'!G61)</f>
        <v>239873.78200000012</v>
      </c>
      <c r="H76" s="43">
        <f t="shared" si="6"/>
        <v>79962.624000000069</v>
      </c>
      <c r="I76" s="44">
        <f t="shared" si="7"/>
        <v>0.50004405571248534</v>
      </c>
      <c r="J76" s="38" t="s">
        <v>366</v>
      </c>
    </row>
    <row r="77" spans="2:10">
      <c r="B77" s="38"/>
      <c r="C77" s="38"/>
      <c r="D77" s="38"/>
      <c r="E77" s="38"/>
      <c r="F77" s="45"/>
      <c r="G77" s="45"/>
      <c r="H77" s="45"/>
      <c r="I77" s="46"/>
      <c r="J77" s="38"/>
    </row>
    <row r="78" spans="2:10" ht="55.2">
      <c r="B78" s="42" t="s">
        <v>130</v>
      </c>
      <c r="C78" s="42"/>
      <c r="D78" s="42"/>
      <c r="E78" s="42"/>
      <c r="F78" s="43">
        <f>ROUND(SUM('Profit and Loss'!F79,'Profit and Loss'!F80,'Profit and Loss'!F81,'Profit and Loss'!F82,'Profit and Loss'!F83,'Profit and Loss'!F84,'Profit and Loss'!F85),0)</f>
        <v>-277003</v>
      </c>
      <c r="G78" s="43">
        <f>ROUND(SUM('Profit and Loss'!G79,'Profit and Loss'!G80,'Profit and Loss'!G81,'Profit and Loss'!G82,'Profit and Loss'!G83,'Profit and Loss'!G84,'Profit and Loss'!G85),0)</f>
        <v>-287965</v>
      </c>
      <c r="H78" s="43">
        <f t="shared" ref="H78:H86" si="8">G78-F78</f>
        <v>-10962</v>
      </c>
      <c r="I78" s="44">
        <f t="shared" ref="I78:I86" si="9">IF(F78=0,"",H78/ABS(F78))</f>
        <v>-3.9573578625502252E-2</v>
      </c>
      <c r="J78" s="38" t="s">
        <v>367</v>
      </c>
    </row>
    <row r="79" spans="2:10" ht="55.2">
      <c r="B79" s="38" t="s">
        <v>131</v>
      </c>
      <c r="C79" s="38"/>
      <c r="D79" s="38"/>
      <c r="E79" s="38"/>
      <c r="F79" s="45">
        <v>-47503.97</v>
      </c>
      <c r="G79" s="45">
        <v>-21456.918000000001</v>
      </c>
      <c r="H79" s="45">
        <f t="shared" si="8"/>
        <v>26047.052</v>
      </c>
      <c r="I79" s="46">
        <f t="shared" si="9"/>
        <v>0.54831316203677294</v>
      </c>
      <c r="J79" s="38" t="s">
        <v>368</v>
      </c>
    </row>
    <row r="80" spans="2:10" ht="55.2">
      <c r="B80" s="38" t="s">
        <v>132</v>
      </c>
      <c r="C80" s="38"/>
      <c r="D80" s="38"/>
      <c r="E80" s="38"/>
      <c r="F80" s="45">
        <v>-96266.035999999993</v>
      </c>
      <c r="G80" s="45">
        <v>-67695.707999999999</v>
      </c>
      <c r="H80" s="45">
        <f t="shared" si="8"/>
        <v>28570.327999999994</v>
      </c>
      <c r="I80" s="46">
        <f t="shared" si="9"/>
        <v>0.2967851299081225</v>
      </c>
      <c r="J80" s="38" t="s">
        <v>369</v>
      </c>
    </row>
    <row r="81" spans="2:10" ht="55.2">
      <c r="B81" s="38" t="s">
        <v>133</v>
      </c>
      <c r="C81" s="38"/>
      <c r="D81" s="38"/>
      <c r="E81" s="38"/>
      <c r="F81" s="45">
        <v>-3220.672</v>
      </c>
      <c r="G81" s="45">
        <v>-1912.377</v>
      </c>
      <c r="H81" s="45">
        <f t="shared" si="8"/>
        <v>1308.2950000000001</v>
      </c>
      <c r="I81" s="46">
        <f t="shared" si="9"/>
        <v>0.40621801909663574</v>
      </c>
      <c r="J81" s="38" t="s">
        <v>370</v>
      </c>
    </row>
    <row r="82" spans="2:10" ht="55.2">
      <c r="B82" s="38" t="s">
        <v>134</v>
      </c>
      <c r="C82" s="38"/>
      <c r="D82" s="38"/>
      <c r="E82" s="38"/>
      <c r="F82" s="45">
        <v>-193729.20300000001</v>
      </c>
      <c r="G82" s="45">
        <v>-196102.38199999998</v>
      </c>
      <c r="H82" s="45">
        <f t="shared" si="8"/>
        <v>-2373.1789999999746</v>
      </c>
      <c r="I82" s="46">
        <f t="shared" si="9"/>
        <v>-1.2249980711477837E-2</v>
      </c>
      <c r="J82" s="38" t="s">
        <v>371</v>
      </c>
    </row>
    <row r="83" spans="2:10" ht="69">
      <c r="B83" s="38" t="s">
        <v>135</v>
      </c>
      <c r="C83" s="38"/>
      <c r="D83" s="38"/>
      <c r="E83" s="38"/>
      <c r="F83" s="45">
        <v>112.351</v>
      </c>
      <c r="G83" s="45">
        <v>-1808.4059999999999</v>
      </c>
      <c r="H83" s="45">
        <f t="shared" si="8"/>
        <v>-1920.7570000000001</v>
      </c>
      <c r="I83" s="46">
        <f t="shared" si="9"/>
        <v>-17.096038308515279</v>
      </c>
      <c r="J83" s="38" t="s">
        <v>372</v>
      </c>
    </row>
    <row r="84" spans="2:10" ht="69">
      <c r="B84" s="38" t="s">
        <v>112</v>
      </c>
      <c r="C84" s="38"/>
      <c r="D84" s="38"/>
      <c r="E84" s="38"/>
      <c r="F84" s="45">
        <v>28292.662</v>
      </c>
      <c r="G84" s="45">
        <v>174.11999999999989</v>
      </c>
      <c r="H84" s="45">
        <f t="shared" si="8"/>
        <v>-28118.542000000001</v>
      </c>
      <c r="I84" s="46">
        <f t="shared" si="9"/>
        <v>-0.99384575406866982</v>
      </c>
      <c r="J84" s="38" t="s">
        <v>373</v>
      </c>
    </row>
    <row r="85" spans="2:10" ht="69">
      <c r="B85" s="38" t="s">
        <v>113</v>
      </c>
      <c r="C85" s="38"/>
      <c r="D85" s="38"/>
      <c r="E85" s="38"/>
      <c r="F85" s="45">
        <v>35311.75440000002</v>
      </c>
      <c r="G85" s="45">
        <v>836.81346999999528</v>
      </c>
      <c r="H85" s="45">
        <f t="shared" si="8"/>
        <v>-34474.940930000026</v>
      </c>
      <c r="I85" s="46">
        <f t="shared" si="9"/>
        <v>-0.97630212703337127</v>
      </c>
      <c r="J85" s="38" t="s">
        <v>374</v>
      </c>
    </row>
    <row r="86" spans="2:10" ht="55.2">
      <c r="B86" s="42" t="s">
        <v>136</v>
      </c>
      <c r="C86" s="42"/>
      <c r="D86" s="42"/>
      <c r="E86" s="42"/>
      <c r="F86" s="43">
        <f>SUM('Profit and Loss'!F76,'Profit and Loss'!F78)</f>
        <v>-117091.84199999995</v>
      </c>
      <c r="G86" s="43">
        <f>SUM('Profit and Loss'!G76,'Profit and Loss'!G78)</f>
        <v>-48091.217999999877</v>
      </c>
      <c r="H86" s="43">
        <f t="shared" si="8"/>
        <v>69000.624000000069</v>
      </c>
      <c r="I86" s="44">
        <f t="shared" si="9"/>
        <v>0.58928634840333372</v>
      </c>
      <c r="J86" s="38" t="s">
        <v>375</v>
      </c>
    </row>
    <row r="87" spans="2:10">
      <c r="B87" s="38"/>
      <c r="C87" s="38"/>
      <c r="D87" s="38"/>
      <c r="E87" s="38"/>
      <c r="F87" s="45"/>
      <c r="G87" s="45"/>
      <c r="H87" s="45"/>
      <c r="I87" s="46"/>
      <c r="J87" s="38"/>
    </row>
    <row r="88" spans="2:10" ht="69">
      <c r="B88" s="42" t="s">
        <v>137</v>
      </c>
      <c r="C88" s="42"/>
      <c r="D88" s="42"/>
      <c r="E88" s="42"/>
      <c r="F88" s="43">
        <f>SUM('Profit and Loss'!F89,'Profit and Loss'!F90)</f>
        <v>-378.202</v>
      </c>
      <c r="G88" s="43">
        <f>SUM('Profit and Loss'!G89,'Profit and Loss'!G90)</f>
        <v>-423.53500000000003</v>
      </c>
      <c r="H88" s="43">
        <f>G88-F88</f>
        <v>-45.333000000000027</v>
      </c>
      <c r="I88" s="44">
        <f>IF(F88=0,"",H88/ABS(F88))</f>
        <v>-0.11986451684549533</v>
      </c>
      <c r="J88" s="38" t="s">
        <v>376</v>
      </c>
    </row>
    <row r="89" spans="2:10" ht="55.2">
      <c r="B89" s="38" t="s">
        <v>138</v>
      </c>
      <c r="C89" s="38"/>
      <c r="D89" s="38"/>
      <c r="E89" s="38"/>
      <c r="F89" s="45">
        <v>-378.202</v>
      </c>
      <c r="G89" s="45">
        <v>-423.53500000000003</v>
      </c>
      <c r="H89" s="45">
        <f>G89-F89</f>
        <v>-45.333000000000027</v>
      </c>
      <c r="I89" s="46">
        <f>IF(F89=0,"",H89/ABS(F89))</f>
        <v>-0.11986451684549533</v>
      </c>
      <c r="J89" s="38" t="s">
        <v>377</v>
      </c>
    </row>
    <row r="90" spans="2:10" ht="55.2">
      <c r="B90" s="38" t="s">
        <v>139</v>
      </c>
      <c r="C90" s="38"/>
      <c r="D90" s="38"/>
      <c r="E90" s="38"/>
      <c r="F90" s="45">
        <v>0</v>
      </c>
      <c r="G90" s="45">
        <v>0</v>
      </c>
      <c r="H90" s="45">
        <f>G90-F90</f>
        <v>0</v>
      </c>
      <c r="I90" s="46" t="str">
        <f>IF(F90=0,"",H90/ABS(F90))</f>
        <v/>
      </c>
      <c r="J90" s="38" t="s">
        <v>378</v>
      </c>
    </row>
    <row r="91" spans="2:10" ht="55.2">
      <c r="B91" s="42" t="s">
        <v>140</v>
      </c>
      <c r="C91" s="42"/>
      <c r="D91" s="42"/>
      <c r="E91" s="42"/>
      <c r="F91" s="43">
        <f>SUM('Profit and Loss'!F86,'Profit and Loss'!F88)</f>
        <v>-117470.04399999995</v>
      </c>
      <c r="G91" s="43">
        <f>SUM('Profit and Loss'!G86,'Profit and Loss'!G88)</f>
        <v>-48514.752999999881</v>
      </c>
      <c r="H91" s="43">
        <f>G91-F91</f>
        <v>68955.29100000007</v>
      </c>
      <c r="I91" s="44">
        <f>IF(F91=0,"",H91/ABS(F91))</f>
        <v>0.58700319376742638</v>
      </c>
      <c r="J91" s="38" t="s">
        <v>379</v>
      </c>
    </row>
    <row r="92" spans="2:10">
      <c r="B92" s="38"/>
      <c r="C92" s="38"/>
      <c r="D92" s="38"/>
      <c r="E92" s="38"/>
      <c r="F92" s="45"/>
      <c r="G92" s="45"/>
      <c r="H92" s="45"/>
      <c r="I92" s="46"/>
      <c r="J92" s="38"/>
    </row>
    <row r="93" spans="2:10">
      <c r="B93" s="42" t="s">
        <v>141</v>
      </c>
      <c r="C93" s="42"/>
      <c r="D93" s="42"/>
      <c r="E93" s="42"/>
      <c r="F93" s="43"/>
      <c r="G93" s="43"/>
      <c r="H93" s="43"/>
      <c r="I93" s="44"/>
      <c r="J93" s="42"/>
    </row>
    <row r="94" spans="2:10" ht="69">
      <c r="B94" s="38" t="s">
        <v>142</v>
      </c>
      <c r="C94" s="38"/>
      <c r="D94" s="38"/>
      <c r="E94" s="38"/>
      <c r="F94" s="45">
        <v>-1114</v>
      </c>
      <c r="G94" s="45">
        <v>-10091.547</v>
      </c>
      <c r="H94" s="45">
        <f>G94-F94</f>
        <v>-8977.5470000000005</v>
      </c>
      <c r="I94" s="46">
        <f>IF(F94=0,"",H94/ABS(F94))</f>
        <v>-8.0588393177737885</v>
      </c>
      <c r="J94" s="38" t="s">
        <v>380</v>
      </c>
    </row>
    <row r="95" spans="2:10" ht="55.2">
      <c r="B95" s="42" t="s">
        <v>143</v>
      </c>
      <c r="C95" s="42"/>
      <c r="D95" s="42"/>
      <c r="E95" s="42"/>
      <c r="F95" s="43">
        <f>SUM('Profit and Loss'!F94)</f>
        <v>-1114</v>
      </c>
      <c r="G95" s="43">
        <f>SUM('Profit and Loss'!G94)</f>
        <v>-10091.547</v>
      </c>
      <c r="H95" s="43">
        <f>G95-F95</f>
        <v>-8977.5470000000005</v>
      </c>
      <c r="I95" s="44">
        <f>IF(F95=0,"",H95/ABS(F95))</f>
        <v>-8.0588393177737885</v>
      </c>
      <c r="J95" s="38" t="s">
        <v>381</v>
      </c>
    </row>
    <row r="96" spans="2:10" ht="69">
      <c r="B96" s="42" t="s">
        <v>144</v>
      </c>
      <c r="C96" s="42"/>
      <c r="D96" s="42"/>
      <c r="E96" s="42"/>
      <c r="F96" s="43">
        <f>SUM('Profit and Loss'!F91,'Profit and Loss'!F95)</f>
        <v>-118584.04399999995</v>
      </c>
      <c r="G96" s="43">
        <f>SUM('Profit and Loss'!G91,'Profit and Loss'!G95)</f>
        <v>-58606.299999999879</v>
      </c>
      <c r="H96" s="43">
        <f>G96-F96</f>
        <v>59977.744000000072</v>
      </c>
      <c r="I96" s="44">
        <f>IF(F96=0,"",H96/ABS(F96))</f>
        <v>0.50578258235146789</v>
      </c>
      <c r="J96" s="38" t="s">
        <v>382</v>
      </c>
    </row>
    <row r="97" spans="2:10">
      <c r="B97" s="38"/>
      <c r="C97" s="38"/>
      <c r="D97" s="38"/>
      <c r="E97" s="38"/>
      <c r="F97" s="45"/>
      <c r="G97" s="45"/>
      <c r="H97" s="45"/>
      <c r="I97" s="46"/>
      <c r="J97" s="38"/>
    </row>
    <row r="98" spans="2:10">
      <c r="J98" s="5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476C"/>
  </sheetPr>
  <dimension ref="B2:J387"/>
  <sheetViews>
    <sheetView tabSelected="1" workbookViewId="0">
      <pane xSplit="2" ySplit="4" topLeftCell="I12" activePane="bottomRight" state="frozen"/>
      <selection pane="topRight"/>
      <selection pane="bottomLeft"/>
      <selection pane="bottomRight" activeCell="J12" sqref="J12"/>
    </sheetView>
  </sheetViews>
  <sheetFormatPr defaultRowHeight="13.8"/>
  <cols>
    <col min="1" max="1" width="2.5" style="30" customWidth="1"/>
    <col min="2" max="2" width="57" style="30" customWidth="1"/>
    <col min="3" max="5" width="8.3984375" style="30" customWidth="1"/>
    <col min="6" max="8" width="20" style="30" customWidth="1"/>
    <col min="9" max="9" width="15" style="30" customWidth="1"/>
    <col min="10" max="10" width="55" style="30" customWidth="1"/>
    <col min="11" max="11" width="3" style="30" customWidth="1"/>
    <col min="12" max="12" width="112" style="30" customWidth="1"/>
    <col min="13" max="16384" width="8.796875" style="30"/>
  </cols>
  <sheetData>
    <row r="2" spans="2:10" ht="17.399999999999999">
      <c r="B2" s="28" t="s">
        <v>0</v>
      </c>
      <c r="C2" s="32"/>
      <c r="D2" s="32"/>
      <c r="E2" s="32"/>
      <c r="F2" s="32"/>
      <c r="G2" s="32"/>
      <c r="H2" s="32"/>
      <c r="I2" s="32"/>
      <c r="J2" s="32"/>
    </row>
    <row r="3" spans="2:10" ht="25.05" customHeight="1">
      <c r="B3" s="29" t="s">
        <v>145</v>
      </c>
      <c r="C3" s="32"/>
      <c r="D3" s="32"/>
      <c r="E3" s="32"/>
      <c r="F3" s="32"/>
      <c r="G3" s="32"/>
      <c r="H3" s="32"/>
      <c r="I3" s="32"/>
      <c r="J3" s="32"/>
    </row>
    <row r="4" spans="2:10" ht="30" customHeight="1">
      <c r="B4" s="33" t="s">
        <v>1</v>
      </c>
      <c r="C4" s="33"/>
      <c r="D4" s="33"/>
      <c r="E4" s="33"/>
      <c r="F4" s="33" t="s">
        <v>2</v>
      </c>
      <c r="G4" s="33" t="s">
        <v>3</v>
      </c>
      <c r="H4" s="33" t="s">
        <v>4</v>
      </c>
      <c r="I4" s="33" t="s">
        <v>5</v>
      </c>
      <c r="J4" s="33" t="s">
        <v>63</v>
      </c>
    </row>
    <row r="5" spans="2:10">
      <c r="B5" s="42" t="s">
        <v>146</v>
      </c>
      <c r="C5" s="42"/>
      <c r="D5" s="42"/>
      <c r="E5" s="42"/>
      <c r="F5" s="43"/>
      <c r="G5" s="43"/>
      <c r="H5" s="43"/>
      <c r="I5" s="44"/>
      <c r="J5" s="42"/>
    </row>
    <row r="6" spans="2:10" ht="55.2">
      <c r="B6" s="42" t="s">
        <v>147</v>
      </c>
      <c r="C6" s="42"/>
      <c r="D6" s="42"/>
      <c r="E6" s="42"/>
      <c r="F6" s="43">
        <v>1000</v>
      </c>
      <c r="G6" s="43">
        <v>1000</v>
      </c>
      <c r="H6" s="43">
        <f t="shared" ref="H6:H14" si="0">G6-F6</f>
        <v>0</v>
      </c>
      <c r="I6" s="44">
        <f t="shared" ref="I6:I14" si="1">IF(F6=0,"",H6/ABS(F6))</f>
        <v>0</v>
      </c>
      <c r="J6" s="38" t="s">
        <v>392</v>
      </c>
    </row>
    <row r="7" spans="2:10" ht="55.2">
      <c r="B7" s="42" t="s">
        <v>148</v>
      </c>
      <c r="C7" s="42"/>
      <c r="D7" s="42"/>
      <c r="E7" s="42"/>
      <c r="F7" s="43">
        <v>134566</v>
      </c>
      <c r="G7" s="43">
        <v>186192</v>
      </c>
      <c r="H7" s="43">
        <f t="shared" si="0"/>
        <v>51626</v>
      </c>
      <c r="I7" s="44">
        <f t="shared" si="1"/>
        <v>0.3836481726439071</v>
      </c>
      <c r="J7" s="38" t="s">
        <v>393</v>
      </c>
    </row>
    <row r="8" spans="2:10" ht="69">
      <c r="B8" s="42" t="s">
        <v>149</v>
      </c>
      <c r="C8" s="42"/>
      <c r="D8" s="42"/>
      <c r="E8" s="42"/>
      <c r="F8" s="43">
        <v>1211094</v>
      </c>
      <c r="G8" s="43">
        <v>1675728</v>
      </c>
      <c r="H8" s="43">
        <f t="shared" si="0"/>
        <v>464634</v>
      </c>
      <c r="I8" s="44">
        <f t="shared" si="1"/>
        <v>0.3836481726439071</v>
      </c>
      <c r="J8" s="38" t="s">
        <v>394</v>
      </c>
    </row>
    <row r="9" spans="2:10" ht="55.2">
      <c r="B9" s="42" t="s">
        <v>150</v>
      </c>
      <c r="C9" s="42"/>
      <c r="D9" s="42"/>
      <c r="E9" s="42"/>
      <c r="F9" s="43">
        <v>0.12999999999738066</v>
      </c>
      <c r="G9" s="43">
        <v>5.6029999999999998</v>
      </c>
      <c r="H9" s="43">
        <f t="shared" si="0"/>
        <v>5.4730000000026191</v>
      </c>
      <c r="I9" s="44">
        <f t="shared" si="1"/>
        <v>42.100000000868413</v>
      </c>
      <c r="J9" s="38" t="s">
        <v>395</v>
      </c>
    </row>
    <row r="10" spans="2:10" ht="55.2">
      <c r="B10" s="42" t="s">
        <v>151</v>
      </c>
      <c r="C10" s="42"/>
      <c r="D10" s="42"/>
      <c r="E10" s="42"/>
      <c r="F10" s="43">
        <f>SUM('Balance Sheet'!F11,'Profit and Loss'!F91,'Profit and Loss'!F95)</f>
        <v>-2891043.8755799998</v>
      </c>
      <c r="G10" s="43">
        <f>SUM('Balance Sheet'!G11,'Profit and Loss'!G91,'Profit and Loss'!G95)</f>
        <v>-2949650.1755799996</v>
      </c>
      <c r="H10" s="43">
        <f t="shared" si="0"/>
        <v>-58606.299999999814</v>
      </c>
      <c r="I10" s="44">
        <f t="shared" si="1"/>
        <v>-2.0271674357844965E-2</v>
      </c>
      <c r="J10" s="38" t="s">
        <v>396</v>
      </c>
    </row>
    <row r="11" spans="2:10" ht="55.2">
      <c r="B11" s="38" t="s">
        <v>152</v>
      </c>
      <c r="C11" s="38"/>
      <c r="D11" s="38"/>
      <c r="E11" s="38"/>
      <c r="F11" s="45">
        <v>-2772459.83158</v>
      </c>
      <c r="G11" s="45">
        <v>-2891043.8755799998</v>
      </c>
      <c r="H11" s="45">
        <f t="shared" si="0"/>
        <v>-118584.04399999976</v>
      </c>
      <c r="I11" s="46">
        <f t="shared" si="1"/>
        <v>-4.2772141420862275E-2</v>
      </c>
      <c r="J11" s="38" t="s">
        <v>397</v>
      </c>
    </row>
    <row r="12" spans="2:10" ht="55.2">
      <c r="B12" s="38" t="s">
        <v>140</v>
      </c>
      <c r="C12" s="38"/>
      <c r="D12" s="38"/>
      <c r="E12" s="38"/>
      <c r="F12" s="45">
        <f>'Profit and Loss'!F91</f>
        <v>-117470.04399999995</v>
      </c>
      <c r="G12" s="45">
        <f>'Profit and Loss'!G91</f>
        <v>-48514.752999999881</v>
      </c>
      <c r="H12" s="45">
        <f t="shared" si="0"/>
        <v>68955.29100000007</v>
      </c>
      <c r="I12" s="46">
        <f t="shared" si="1"/>
        <v>0.58700319376742638</v>
      </c>
      <c r="J12" s="38" t="s">
        <v>398</v>
      </c>
    </row>
    <row r="13" spans="2:10" ht="55.2">
      <c r="B13" s="38" t="s">
        <v>143</v>
      </c>
      <c r="C13" s="38"/>
      <c r="D13" s="38"/>
      <c r="E13" s="38"/>
      <c r="F13" s="45">
        <f>'Profit and Loss'!F95</f>
        <v>-1114</v>
      </c>
      <c r="G13" s="45">
        <f>'Profit and Loss'!G95</f>
        <v>-10091.547</v>
      </c>
      <c r="H13" s="45">
        <f t="shared" si="0"/>
        <v>-8977.5470000000005</v>
      </c>
      <c r="I13" s="46">
        <f t="shared" si="1"/>
        <v>-8.0588393177737885</v>
      </c>
      <c r="J13" s="38" t="s">
        <v>399</v>
      </c>
    </row>
    <row r="14" spans="2:10" ht="55.2">
      <c r="B14" s="42" t="s">
        <v>153</v>
      </c>
      <c r="C14" s="42"/>
      <c r="D14" s="42"/>
      <c r="E14" s="42"/>
      <c r="F14" s="43">
        <f>SUM('Balance Sheet'!F6,'Balance Sheet'!F7,'Balance Sheet'!F8,'Balance Sheet'!F9,'Balance Sheet'!F10)</f>
        <v>-1544383.7455799999</v>
      </c>
      <c r="G14" s="43">
        <f>SUM('Balance Sheet'!G6,'Balance Sheet'!G7,'Balance Sheet'!G8,'Balance Sheet'!G9,'Balance Sheet'!G10)</f>
        <v>-1086724.5725799997</v>
      </c>
      <c r="H14" s="43">
        <f t="shared" si="0"/>
        <v>457659.17300000018</v>
      </c>
      <c r="I14" s="44">
        <f t="shared" si="1"/>
        <v>0.29633772973188366</v>
      </c>
      <c r="J14" s="38" t="s">
        <v>400</v>
      </c>
    </row>
    <row r="15" spans="2:10">
      <c r="B15" s="38"/>
      <c r="C15" s="38"/>
      <c r="D15" s="38"/>
      <c r="E15" s="38"/>
      <c r="F15" s="45"/>
      <c r="G15" s="45"/>
      <c r="H15" s="45"/>
      <c r="I15" s="46"/>
      <c r="J15" s="38"/>
    </row>
    <row r="16" spans="2:10">
      <c r="B16" s="42" t="s">
        <v>154</v>
      </c>
      <c r="C16" s="42"/>
      <c r="D16" s="42"/>
      <c r="E16" s="42"/>
      <c r="F16" s="43"/>
      <c r="G16" s="43"/>
      <c r="H16" s="43"/>
      <c r="I16" s="44"/>
      <c r="J16" s="42"/>
    </row>
    <row r="17" spans="2:10" ht="55.2">
      <c r="B17" s="42" t="s">
        <v>155</v>
      </c>
      <c r="C17" s="42"/>
      <c r="D17" s="42"/>
      <c r="E17" s="42"/>
      <c r="F17" s="43">
        <f>SUM('Balance Sheet'!F18,'Balance Sheet'!F19)</f>
        <v>385671.10599999997</v>
      </c>
      <c r="G17" s="43">
        <f>SUM('Balance Sheet'!G18,'Balance Sheet'!G19)</f>
        <v>286140.18300000002</v>
      </c>
      <c r="H17" s="43">
        <f t="shared" ref="H17:H22" si="2">G17-F17</f>
        <v>-99530.922999999952</v>
      </c>
      <c r="I17" s="44">
        <f t="shared" ref="I17:I22" si="3">IF(F17=0,"",H17/ABS(F17))</f>
        <v>-0.25807202419773689</v>
      </c>
      <c r="J17" s="38" t="s">
        <v>401</v>
      </c>
    </row>
    <row r="18" spans="2:10" ht="69">
      <c r="B18" s="38" t="s">
        <v>156</v>
      </c>
      <c r="C18" s="38"/>
      <c r="D18" s="38"/>
      <c r="E18" s="38"/>
      <c r="F18" s="45">
        <v>384458.08199999999</v>
      </c>
      <c r="G18" s="45">
        <v>283040.72200000001</v>
      </c>
      <c r="H18" s="45">
        <f t="shared" si="2"/>
        <v>-101417.35999999999</v>
      </c>
      <c r="I18" s="46">
        <f t="shared" si="3"/>
        <v>-0.26379302386469272</v>
      </c>
      <c r="J18" s="38" t="s">
        <v>402</v>
      </c>
    </row>
    <row r="19" spans="2:10" ht="55.2">
      <c r="B19" s="38" t="s">
        <v>157</v>
      </c>
      <c r="C19" s="38"/>
      <c r="D19" s="38"/>
      <c r="E19" s="38"/>
      <c r="F19" s="45">
        <v>1213.0239999999999</v>
      </c>
      <c r="G19" s="45">
        <v>3099.4609999999998</v>
      </c>
      <c r="H19" s="45">
        <f t="shared" si="2"/>
        <v>1886.4369999999999</v>
      </c>
      <c r="I19" s="46">
        <f t="shared" si="3"/>
        <v>1.5551522476059831</v>
      </c>
      <c r="J19" s="38" t="s">
        <v>403</v>
      </c>
    </row>
    <row r="20" spans="2:10" ht="55.2">
      <c r="B20" s="42" t="s">
        <v>158</v>
      </c>
      <c r="C20" s="42"/>
      <c r="D20" s="42"/>
      <c r="E20" s="42"/>
      <c r="F20" s="43">
        <v>898775.77043466491</v>
      </c>
      <c r="G20" s="43">
        <v>1050523.7379999999</v>
      </c>
      <c r="H20" s="43">
        <f t="shared" si="2"/>
        <v>151747.96756533498</v>
      </c>
      <c r="I20" s="44">
        <f t="shared" si="3"/>
        <v>0.16883851629861674</v>
      </c>
      <c r="J20" s="38" t="s">
        <v>404</v>
      </c>
    </row>
    <row r="21" spans="2:10" ht="55.2">
      <c r="B21" s="42" t="s">
        <v>159</v>
      </c>
      <c r="C21" s="42"/>
      <c r="D21" s="42"/>
      <c r="E21" s="42"/>
      <c r="F21" s="43">
        <f>SUM('Balance Sheet'!F17,'Balance Sheet'!F20)</f>
        <v>1284446.8764346649</v>
      </c>
      <c r="G21" s="43">
        <f>SUM('Balance Sheet'!G17,'Balance Sheet'!G20)</f>
        <v>1336663.9209999999</v>
      </c>
      <c r="H21" s="43">
        <f t="shared" si="2"/>
        <v>52217.044565334916</v>
      </c>
      <c r="I21" s="44">
        <f t="shared" si="3"/>
        <v>4.0653331424868003E-2</v>
      </c>
      <c r="J21" s="38" t="s">
        <v>405</v>
      </c>
    </row>
    <row r="22" spans="2:10" ht="69">
      <c r="B22" s="42" t="s">
        <v>160</v>
      </c>
      <c r="C22" s="42"/>
      <c r="D22" s="42"/>
      <c r="E22" s="42"/>
      <c r="F22" s="43">
        <f>SUM('Balance Sheet'!F14,'Balance Sheet'!F21)</f>
        <v>-259936.86914533493</v>
      </c>
      <c r="G22" s="43">
        <f>SUM('Balance Sheet'!G14,'Balance Sheet'!G21)</f>
        <v>249939.34842000017</v>
      </c>
      <c r="H22" s="43">
        <f t="shared" si="2"/>
        <v>509876.2175653351</v>
      </c>
      <c r="I22" s="44">
        <f t="shared" si="3"/>
        <v>1.9615386583742187</v>
      </c>
      <c r="J22" s="38" t="s">
        <v>406</v>
      </c>
    </row>
    <row r="23" spans="2:10">
      <c r="B23" s="38"/>
      <c r="C23" s="38"/>
      <c r="D23" s="38"/>
      <c r="E23" s="38"/>
      <c r="F23" s="45"/>
      <c r="G23" s="45"/>
      <c r="H23" s="45"/>
      <c r="I23" s="46"/>
      <c r="J23" s="38"/>
    </row>
    <row r="24" spans="2:10">
      <c r="B24" s="42" t="s">
        <v>161</v>
      </c>
      <c r="C24" s="42"/>
      <c r="D24" s="42"/>
      <c r="E24" s="42"/>
      <c r="F24" s="43"/>
      <c r="G24" s="43"/>
      <c r="H24" s="43"/>
      <c r="I24" s="44"/>
      <c r="J24" s="42"/>
    </row>
    <row r="25" spans="2:10">
      <c r="B25" s="42" t="s">
        <v>162</v>
      </c>
      <c r="C25" s="42"/>
      <c r="D25" s="42"/>
      <c r="E25" s="42"/>
      <c r="F25" s="43"/>
      <c r="G25" s="43"/>
      <c r="H25" s="43"/>
      <c r="I25" s="44"/>
      <c r="J25" s="42"/>
    </row>
    <row r="26" spans="2:10" ht="55.2">
      <c r="B26" s="42" t="s">
        <v>163</v>
      </c>
      <c r="C26" s="42"/>
      <c r="D26" s="42"/>
      <c r="E26" s="42"/>
      <c r="F26" s="43">
        <v>630019</v>
      </c>
      <c r="G26" s="43">
        <v>584861</v>
      </c>
      <c r="H26" s="43">
        <f t="shared" ref="H26:H54" si="4">G26-F26</f>
        <v>-45158</v>
      </c>
      <c r="I26" s="44">
        <f t="shared" ref="I26:I54" si="5">IF(F26=0,"",H26/ABS(F26))</f>
        <v>-7.167720338592963E-2</v>
      </c>
      <c r="J26" s="38" t="s">
        <v>407</v>
      </c>
    </row>
    <row r="27" spans="2:10" ht="55.2">
      <c r="B27" s="38" t="s">
        <v>164</v>
      </c>
      <c r="C27" s="38"/>
      <c r="D27" s="38"/>
      <c r="E27" s="38"/>
      <c r="F27" s="45">
        <v>278548</v>
      </c>
      <c r="G27" s="45">
        <v>226244</v>
      </c>
      <c r="H27" s="45">
        <f t="shared" si="4"/>
        <v>-52304</v>
      </c>
      <c r="I27" s="46">
        <f t="shared" si="5"/>
        <v>-0.18777374097103552</v>
      </c>
      <c r="J27" s="38" t="s">
        <v>408</v>
      </c>
    </row>
    <row r="28" spans="2:10" ht="41.4">
      <c r="B28" s="38" t="s">
        <v>165</v>
      </c>
      <c r="C28" s="38"/>
      <c r="D28" s="38"/>
      <c r="E28" s="38"/>
      <c r="F28" s="45">
        <v>0</v>
      </c>
      <c r="G28" s="45">
        <v>0</v>
      </c>
      <c r="H28" s="45">
        <f t="shared" si="4"/>
        <v>0</v>
      </c>
      <c r="I28" s="46" t="str">
        <f t="shared" si="5"/>
        <v/>
      </c>
      <c r="J28" s="38" t="s">
        <v>409</v>
      </c>
    </row>
    <row r="29" spans="2:10" ht="55.2">
      <c r="B29" s="38" t="s">
        <v>166</v>
      </c>
      <c r="C29" s="38"/>
      <c r="D29" s="38"/>
      <c r="E29" s="38"/>
      <c r="F29" s="45">
        <v>4526</v>
      </c>
      <c r="G29" s="45">
        <v>5348</v>
      </c>
      <c r="H29" s="45">
        <f t="shared" si="4"/>
        <v>822</v>
      </c>
      <c r="I29" s="46">
        <f t="shared" si="5"/>
        <v>0.18161732213875387</v>
      </c>
      <c r="J29" s="38" t="s">
        <v>410</v>
      </c>
    </row>
    <row r="30" spans="2:10" ht="55.2">
      <c r="B30" s="38" t="s">
        <v>167</v>
      </c>
      <c r="C30" s="38"/>
      <c r="D30" s="38"/>
      <c r="E30" s="38"/>
      <c r="F30" s="45">
        <v>74759</v>
      </c>
      <c r="G30" s="45">
        <v>65624</v>
      </c>
      <c r="H30" s="45">
        <f t="shared" si="4"/>
        <v>-9135</v>
      </c>
      <c r="I30" s="46">
        <f t="shared" si="5"/>
        <v>-0.12219264570152089</v>
      </c>
      <c r="J30" s="38" t="s">
        <v>411</v>
      </c>
    </row>
    <row r="31" spans="2:10" ht="55.2">
      <c r="B31" s="38" t="s">
        <v>168</v>
      </c>
      <c r="C31" s="38"/>
      <c r="D31" s="38"/>
      <c r="E31" s="38"/>
      <c r="F31" s="45">
        <v>11871</v>
      </c>
      <c r="G31" s="45">
        <v>12780</v>
      </c>
      <c r="H31" s="45">
        <f t="shared" si="4"/>
        <v>909</v>
      </c>
      <c r="I31" s="46">
        <f t="shared" si="5"/>
        <v>7.657316148597422E-2</v>
      </c>
      <c r="J31" s="38" t="s">
        <v>412</v>
      </c>
    </row>
    <row r="32" spans="2:10" ht="55.2">
      <c r="B32" s="38" t="s">
        <v>169</v>
      </c>
      <c r="C32" s="38"/>
      <c r="D32" s="38"/>
      <c r="E32" s="38"/>
      <c r="F32" s="45">
        <v>85476</v>
      </c>
      <c r="G32" s="45">
        <v>81142</v>
      </c>
      <c r="H32" s="45">
        <f t="shared" si="4"/>
        <v>-4334</v>
      </c>
      <c r="I32" s="46">
        <f t="shared" si="5"/>
        <v>-5.0704291263044599E-2</v>
      </c>
      <c r="J32" s="38" t="s">
        <v>413</v>
      </c>
    </row>
    <row r="33" spans="2:10" ht="55.2">
      <c r="B33" s="38" t="s">
        <v>170</v>
      </c>
      <c r="C33" s="38"/>
      <c r="D33" s="38"/>
      <c r="E33" s="38"/>
      <c r="F33" s="45">
        <v>112885</v>
      </c>
      <c r="G33" s="45">
        <v>88888</v>
      </c>
      <c r="H33" s="45">
        <f t="shared" si="4"/>
        <v>-23997</v>
      </c>
      <c r="I33" s="46">
        <f t="shared" si="5"/>
        <v>-0.21257917349514993</v>
      </c>
      <c r="J33" s="38" t="s">
        <v>414</v>
      </c>
    </row>
    <row r="34" spans="2:10" ht="55.2">
      <c r="B34" s="38" t="s">
        <v>171</v>
      </c>
      <c r="C34" s="38"/>
      <c r="D34" s="38"/>
      <c r="E34" s="38"/>
      <c r="F34" s="45">
        <v>25626</v>
      </c>
      <c r="G34" s="45">
        <v>27160</v>
      </c>
      <c r="H34" s="45">
        <f t="shared" si="4"/>
        <v>1534</v>
      </c>
      <c r="I34" s="46">
        <f t="shared" si="5"/>
        <v>5.9861078592054945E-2</v>
      </c>
      <c r="J34" s="38" t="s">
        <v>415</v>
      </c>
    </row>
    <row r="35" spans="2:10" ht="55.2">
      <c r="B35" s="38" t="s">
        <v>172</v>
      </c>
      <c r="C35" s="38"/>
      <c r="D35" s="38"/>
      <c r="E35" s="38"/>
      <c r="F35" s="45">
        <v>36328</v>
      </c>
      <c r="G35" s="45">
        <v>77675</v>
      </c>
      <c r="H35" s="45">
        <f t="shared" si="4"/>
        <v>41347</v>
      </c>
      <c r="I35" s="46">
        <f t="shared" si="5"/>
        <v>1.138157894736842</v>
      </c>
      <c r="J35" s="38" t="s">
        <v>416</v>
      </c>
    </row>
    <row r="36" spans="2:10" ht="55.2">
      <c r="B36" s="42" t="s">
        <v>173</v>
      </c>
      <c r="C36" s="42"/>
      <c r="D36" s="42"/>
      <c r="E36" s="42"/>
      <c r="F36" s="43">
        <f>SUM('Balance Sheet'!F37,'Balance Sheet'!F38)</f>
        <v>923547.24800000014</v>
      </c>
      <c r="G36" s="43">
        <f>SUM('Balance Sheet'!G37,'Balance Sheet'!G38)</f>
        <v>1157167.6949999998</v>
      </c>
      <c r="H36" s="43">
        <f t="shared" si="4"/>
        <v>233620.44699999969</v>
      </c>
      <c r="I36" s="44">
        <f t="shared" si="5"/>
        <v>0.25295992977719278</v>
      </c>
      <c r="J36" s="38" t="s">
        <v>417</v>
      </c>
    </row>
    <row r="37" spans="2:10" ht="41.4">
      <c r="B37" s="38" t="s">
        <v>174</v>
      </c>
      <c r="C37" s="38"/>
      <c r="D37" s="38"/>
      <c r="E37" s="38"/>
      <c r="F37" s="45">
        <v>2597976.5551900002</v>
      </c>
      <c r="G37" s="45">
        <v>3129223.8091899999</v>
      </c>
      <c r="H37" s="45">
        <f t="shared" si="4"/>
        <v>531247.25399999972</v>
      </c>
      <c r="I37" s="46">
        <f t="shared" si="5"/>
        <v>0.20448500697156888</v>
      </c>
      <c r="J37" s="38" t="s">
        <v>418</v>
      </c>
    </row>
    <row r="38" spans="2:10" ht="55.2">
      <c r="B38" s="38" t="s">
        <v>175</v>
      </c>
      <c r="C38" s="38"/>
      <c r="D38" s="38"/>
      <c r="E38" s="38"/>
      <c r="F38" s="45">
        <v>-1674429.3071900001</v>
      </c>
      <c r="G38" s="45">
        <v>-1972056.1141900001</v>
      </c>
      <c r="H38" s="45">
        <f t="shared" si="4"/>
        <v>-297626.80700000003</v>
      </c>
      <c r="I38" s="46">
        <f t="shared" si="5"/>
        <v>-0.1777482069395169</v>
      </c>
      <c r="J38" s="38" t="s">
        <v>419</v>
      </c>
    </row>
    <row r="39" spans="2:10" ht="69">
      <c r="B39" s="42" t="s">
        <v>176</v>
      </c>
      <c r="C39" s="42"/>
      <c r="D39" s="42"/>
      <c r="E39" s="42"/>
      <c r="F39" s="43">
        <f>SUM('Balance Sheet'!F40,'Balance Sheet'!F41)</f>
        <v>1735.2870000000003</v>
      </c>
      <c r="G39" s="43">
        <f>SUM('Balance Sheet'!G40,'Balance Sheet'!G41)</f>
        <v>15504.740000000002</v>
      </c>
      <c r="H39" s="43">
        <f t="shared" si="4"/>
        <v>13769.453000000001</v>
      </c>
      <c r="I39" s="44">
        <f t="shared" si="5"/>
        <v>7.9349715637816676</v>
      </c>
      <c r="J39" s="38" t="s">
        <v>420</v>
      </c>
    </row>
    <row r="40" spans="2:10" ht="41.4">
      <c r="B40" s="38" t="s">
        <v>174</v>
      </c>
      <c r="C40" s="38"/>
      <c r="D40" s="38"/>
      <c r="E40" s="38"/>
      <c r="F40" s="45">
        <v>29101.205999999998</v>
      </c>
      <c r="G40" s="45">
        <v>47169.409</v>
      </c>
      <c r="H40" s="45">
        <f t="shared" si="4"/>
        <v>18068.203000000001</v>
      </c>
      <c r="I40" s="46">
        <f t="shared" si="5"/>
        <v>0.62087471563893271</v>
      </c>
      <c r="J40" s="38" t="s">
        <v>421</v>
      </c>
    </row>
    <row r="41" spans="2:10" ht="55.2">
      <c r="B41" s="38" t="s">
        <v>177</v>
      </c>
      <c r="C41" s="38"/>
      <c r="D41" s="38"/>
      <c r="E41" s="38"/>
      <c r="F41" s="45">
        <v>-27365.918999999998</v>
      </c>
      <c r="G41" s="45">
        <v>-31664.668999999998</v>
      </c>
      <c r="H41" s="45">
        <f t="shared" si="4"/>
        <v>-4298.75</v>
      </c>
      <c r="I41" s="46">
        <f t="shared" si="5"/>
        <v>-0.15708407234560623</v>
      </c>
      <c r="J41" s="38" t="s">
        <v>422</v>
      </c>
    </row>
    <row r="42" spans="2:10" ht="41.4">
      <c r="B42" s="42" t="s">
        <v>178</v>
      </c>
      <c r="C42" s="42"/>
      <c r="D42" s="42"/>
      <c r="E42" s="42"/>
      <c r="F42" s="43">
        <f>SUM('Balance Sheet'!F43,'Balance Sheet'!F44)</f>
        <v>0</v>
      </c>
      <c r="G42" s="43">
        <f>SUM('Balance Sheet'!G43,'Balance Sheet'!G44)</f>
        <v>0</v>
      </c>
      <c r="H42" s="43">
        <f t="shared" si="4"/>
        <v>0</v>
      </c>
      <c r="I42" s="44" t="str">
        <f t="shared" si="5"/>
        <v/>
      </c>
      <c r="J42" s="38" t="s">
        <v>423</v>
      </c>
    </row>
    <row r="43" spans="2:10" ht="41.4">
      <c r="B43" s="38" t="s">
        <v>179</v>
      </c>
      <c r="C43" s="38"/>
      <c r="D43" s="38"/>
      <c r="E43" s="38"/>
      <c r="F43" s="45">
        <v>18500</v>
      </c>
      <c r="G43" s="45">
        <v>0</v>
      </c>
      <c r="H43" s="45">
        <f t="shared" si="4"/>
        <v>-18500</v>
      </c>
      <c r="I43" s="46">
        <f t="shared" si="5"/>
        <v>-1</v>
      </c>
      <c r="J43" s="38" t="s">
        <v>424</v>
      </c>
    </row>
    <row r="44" spans="2:10" ht="41.4">
      <c r="B44" s="38" t="s">
        <v>180</v>
      </c>
      <c r="C44" s="38"/>
      <c r="D44" s="38"/>
      <c r="E44" s="38"/>
      <c r="F44" s="45">
        <v>-18500</v>
      </c>
      <c r="G44" s="45">
        <v>0</v>
      </c>
      <c r="H44" s="45">
        <f t="shared" si="4"/>
        <v>18500</v>
      </c>
      <c r="I44" s="46">
        <f t="shared" si="5"/>
        <v>1</v>
      </c>
      <c r="J44" s="38" t="s">
        <v>425</v>
      </c>
    </row>
    <row r="45" spans="2:10" ht="55.2">
      <c r="B45" s="42" t="s">
        <v>181</v>
      </c>
      <c r="C45" s="42"/>
      <c r="D45" s="42"/>
      <c r="E45" s="42"/>
      <c r="F45" s="43">
        <v>0</v>
      </c>
      <c r="G45" s="43">
        <v>0</v>
      </c>
      <c r="H45" s="43">
        <f t="shared" si="4"/>
        <v>0</v>
      </c>
      <c r="I45" s="44" t="str">
        <f t="shared" si="5"/>
        <v/>
      </c>
      <c r="J45" s="38" t="s">
        <v>426</v>
      </c>
    </row>
    <row r="46" spans="2:10" ht="55.2">
      <c r="B46" s="38" t="s">
        <v>182</v>
      </c>
      <c r="C46" s="38"/>
      <c r="D46" s="38"/>
      <c r="E46" s="38"/>
      <c r="F46" s="45">
        <v>-94962</v>
      </c>
      <c r="G46" s="45">
        <v>-98318</v>
      </c>
      <c r="H46" s="45">
        <f t="shared" si="4"/>
        <v>-3356</v>
      </c>
      <c r="I46" s="46">
        <f t="shared" si="5"/>
        <v>-3.5340451970261789E-2</v>
      </c>
      <c r="J46" s="38" t="s">
        <v>427</v>
      </c>
    </row>
    <row r="47" spans="2:10" ht="55.2">
      <c r="B47" s="38" t="s">
        <v>183</v>
      </c>
      <c r="C47" s="38"/>
      <c r="D47" s="38"/>
      <c r="E47" s="38"/>
      <c r="F47" s="45">
        <v>-7845</v>
      </c>
      <c r="G47" s="45">
        <v>-7989</v>
      </c>
      <c r="H47" s="45">
        <f t="shared" si="4"/>
        <v>-144</v>
      </c>
      <c r="I47" s="46">
        <f t="shared" si="5"/>
        <v>-1.835564053537285E-2</v>
      </c>
      <c r="J47" s="38" t="s">
        <v>428</v>
      </c>
    </row>
    <row r="48" spans="2:10" ht="55.2">
      <c r="B48" s="38" t="s">
        <v>184</v>
      </c>
      <c r="C48" s="38"/>
      <c r="D48" s="38"/>
      <c r="E48" s="38"/>
      <c r="F48" s="45">
        <v>-1515</v>
      </c>
      <c r="G48" s="45">
        <v>-2601</v>
      </c>
      <c r="H48" s="45">
        <f t="shared" si="4"/>
        <v>-1086</v>
      </c>
      <c r="I48" s="46">
        <f t="shared" si="5"/>
        <v>-0.7168316831683168</v>
      </c>
      <c r="J48" s="38" t="s">
        <v>429</v>
      </c>
    </row>
    <row r="49" spans="2:10" ht="55.2">
      <c r="B49" s="38" t="s">
        <v>185</v>
      </c>
      <c r="C49" s="38"/>
      <c r="D49" s="38"/>
      <c r="E49" s="38"/>
      <c r="F49" s="45">
        <v>-18303</v>
      </c>
      <c r="G49" s="45">
        <v>-22884</v>
      </c>
      <c r="H49" s="45">
        <f t="shared" si="4"/>
        <v>-4581</v>
      </c>
      <c r="I49" s="46">
        <f t="shared" si="5"/>
        <v>-0.2502868382232421</v>
      </c>
      <c r="J49" s="38" t="s">
        <v>430</v>
      </c>
    </row>
    <row r="50" spans="2:10" ht="55.2">
      <c r="B50" s="38" t="s">
        <v>186</v>
      </c>
      <c r="C50" s="38"/>
      <c r="D50" s="38"/>
      <c r="E50" s="38"/>
      <c r="F50" s="45">
        <v>-209542</v>
      </c>
      <c r="G50" s="45">
        <v>-219198</v>
      </c>
      <c r="H50" s="45">
        <f t="shared" si="4"/>
        <v>-9656</v>
      </c>
      <c r="I50" s="46">
        <f t="shared" si="5"/>
        <v>-4.6081453837416846E-2</v>
      </c>
      <c r="J50" s="38" t="s">
        <v>431</v>
      </c>
    </row>
    <row r="51" spans="2:10" ht="55.2">
      <c r="B51" s="38" t="s">
        <v>187</v>
      </c>
      <c r="C51" s="38"/>
      <c r="D51" s="38"/>
      <c r="E51" s="38"/>
      <c r="F51" s="45">
        <v>-1967</v>
      </c>
      <c r="G51" s="45">
        <v>-2434</v>
      </c>
      <c r="H51" s="45">
        <f t="shared" si="4"/>
        <v>-467</v>
      </c>
      <c r="I51" s="46">
        <f t="shared" si="5"/>
        <v>-0.23741738688357905</v>
      </c>
      <c r="J51" s="38" t="s">
        <v>432</v>
      </c>
    </row>
    <row r="52" spans="2:10" ht="55.2">
      <c r="B52" s="38" t="s">
        <v>188</v>
      </c>
      <c r="C52" s="38"/>
      <c r="D52" s="38"/>
      <c r="E52" s="38"/>
      <c r="F52" s="45">
        <v>-222901.54159654028</v>
      </c>
      <c r="G52" s="45">
        <v>-224278.08641287001</v>
      </c>
      <c r="H52" s="45">
        <f t="shared" si="4"/>
        <v>-1376.544816329726</v>
      </c>
      <c r="I52" s="46">
        <f t="shared" si="5"/>
        <v>-6.1755733337247216E-3</v>
      </c>
      <c r="J52" s="38" t="s">
        <v>433</v>
      </c>
    </row>
    <row r="53" spans="2:10" ht="69">
      <c r="B53" s="38" t="s">
        <v>189</v>
      </c>
      <c r="C53" s="38"/>
      <c r="D53" s="38"/>
      <c r="E53" s="38"/>
      <c r="F53" s="45">
        <v>557035.54159654025</v>
      </c>
      <c r="G53" s="45">
        <v>577702.08641286998</v>
      </c>
      <c r="H53" s="45">
        <f t="shared" si="4"/>
        <v>20666.544816329726</v>
      </c>
      <c r="I53" s="46">
        <f t="shared" si="5"/>
        <v>3.7100944684959551E-2</v>
      </c>
      <c r="J53" s="38" t="s">
        <v>434</v>
      </c>
    </row>
    <row r="54" spans="2:10" ht="55.2">
      <c r="B54" s="42" t="s">
        <v>190</v>
      </c>
      <c r="C54" s="42"/>
      <c r="D54" s="42"/>
      <c r="E54" s="42"/>
      <c r="F54" s="43">
        <f>SUM('Balance Sheet'!F26,'Balance Sheet'!F36,'Balance Sheet'!F39,'Balance Sheet'!F42,'Balance Sheet'!F45)</f>
        <v>1555301.5350000001</v>
      </c>
      <c r="G54" s="43">
        <f>SUM('Balance Sheet'!G26,'Balance Sheet'!G36,'Balance Sheet'!G39,'Balance Sheet'!G42,'Balance Sheet'!G45)</f>
        <v>1757533.4349999998</v>
      </c>
      <c r="H54" s="43">
        <f t="shared" si="4"/>
        <v>202231.89999999967</v>
      </c>
      <c r="I54" s="44">
        <f t="shared" si="5"/>
        <v>0.13002745477262045</v>
      </c>
      <c r="J54" s="38" t="s">
        <v>435</v>
      </c>
    </row>
    <row r="55" spans="2:10">
      <c r="B55" s="38"/>
      <c r="C55" s="38"/>
      <c r="D55" s="38"/>
      <c r="E55" s="38"/>
      <c r="F55" s="45"/>
      <c r="G55" s="45"/>
      <c r="H55" s="45"/>
      <c r="I55" s="46"/>
      <c r="J55" s="38"/>
    </row>
    <row r="56" spans="2:10">
      <c r="B56" s="42" t="s">
        <v>191</v>
      </c>
      <c r="C56" s="42"/>
      <c r="D56" s="42"/>
      <c r="E56" s="42"/>
      <c r="F56" s="43"/>
      <c r="G56" s="43"/>
      <c r="H56" s="43"/>
      <c r="I56" s="44"/>
      <c r="J56" s="42"/>
    </row>
    <row r="57" spans="2:10" ht="55.2">
      <c r="B57" s="42" t="s">
        <v>192</v>
      </c>
      <c r="C57" s="42"/>
      <c r="D57" s="42"/>
      <c r="E57" s="42"/>
      <c r="F57" s="43">
        <v>124312.19699999999</v>
      </c>
      <c r="G57" s="43">
        <v>157057.37299999999</v>
      </c>
      <c r="H57" s="43">
        <f t="shared" ref="H57:H71" si="6">G57-F57</f>
        <v>32745.176000000007</v>
      </c>
      <c r="I57" s="44">
        <f t="shared" ref="I57:I71" si="7">IF(F57=0,"",H57/ABS(F57))</f>
        <v>0.26341080594046623</v>
      </c>
      <c r="J57" s="38" t="s">
        <v>436</v>
      </c>
    </row>
    <row r="58" spans="2:10" ht="69">
      <c r="B58" s="38" t="s">
        <v>193</v>
      </c>
      <c r="C58" s="38"/>
      <c r="D58" s="38"/>
      <c r="E58" s="38"/>
      <c r="F58" s="45">
        <v>85000.245999999999</v>
      </c>
      <c r="G58" s="45">
        <v>106716.465</v>
      </c>
      <c r="H58" s="45">
        <f t="shared" si="6"/>
        <v>21716.218999999997</v>
      </c>
      <c r="I58" s="46">
        <f t="shared" si="7"/>
        <v>0.2554841900104618</v>
      </c>
      <c r="J58" s="38" t="s">
        <v>437</v>
      </c>
    </row>
    <row r="59" spans="2:10" ht="41.4">
      <c r="B59" s="38" t="s">
        <v>194</v>
      </c>
      <c r="C59" s="38"/>
      <c r="D59" s="38"/>
      <c r="E59" s="38"/>
      <c r="F59" s="45">
        <v>2876.28</v>
      </c>
      <c r="G59" s="45">
        <v>2849.4630000000002</v>
      </c>
      <c r="H59" s="45">
        <f t="shared" si="6"/>
        <v>-26.817000000000007</v>
      </c>
      <c r="I59" s="46">
        <f t="shared" si="7"/>
        <v>-9.3235011890358405E-3</v>
      </c>
      <c r="J59" s="38" t="s">
        <v>438</v>
      </c>
    </row>
    <row r="60" spans="2:10" ht="55.2">
      <c r="B60" s="38" t="s">
        <v>195</v>
      </c>
      <c r="C60" s="38"/>
      <c r="D60" s="38"/>
      <c r="E60" s="38"/>
      <c r="F60" s="45">
        <v>23028.626</v>
      </c>
      <c r="G60" s="45">
        <v>27336.814999999999</v>
      </c>
      <c r="H60" s="45">
        <f t="shared" si="6"/>
        <v>4308.1889999999985</v>
      </c>
      <c r="I60" s="46">
        <f t="shared" si="7"/>
        <v>0.18707972416591412</v>
      </c>
      <c r="J60" s="38" t="s">
        <v>439</v>
      </c>
    </row>
    <row r="61" spans="2:10" ht="55.2">
      <c r="B61" s="38" t="s">
        <v>196</v>
      </c>
      <c r="C61" s="38"/>
      <c r="D61" s="38"/>
      <c r="E61" s="38"/>
      <c r="F61" s="45">
        <v>13407.045</v>
      </c>
      <c r="G61" s="45">
        <v>20154.370999999999</v>
      </c>
      <c r="H61" s="45">
        <f t="shared" si="6"/>
        <v>6747.3259999999991</v>
      </c>
      <c r="I61" s="46">
        <f t="shared" si="7"/>
        <v>0.50326720019213778</v>
      </c>
      <c r="J61" s="38" t="s">
        <v>440</v>
      </c>
    </row>
    <row r="62" spans="2:10" ht="55.2">
      <c r="B62" s="42" t="s">
        <v>197</v>
      </c>
      <c r="C62" s="42"/>
      <c r="D62" s="42"/>
      <c r="E62" s="42"/>
      <c r="F62" s="43">
        <v>121693.43999999997</v>
      </c>
      <c r="G62" s="43">
        <v>139408.533</v>
      </c>
      <c r="H62" s="43">
        <f t="shared" si="6"/>
        <v>17715.093000000023</v>
      </c>
      <c r="I62" s="44">
        <f t="shared" si="7"/>
        <v>0.14557147040958021</v>
      </c>
      <c r="J62" s="38" t="s">
        <v>441</v>
      </c>
    </row>
    <row r="63" spans="2:10" ht="69">
      <c r="B63" s="38" t="s">
        <v>198</v>
      </c>
      <c r="C63" s="38"/>
      <c r="D63" s="38"/>
      <c r="E63" s="38"/>
      <c r="F63" s="45">
        <v>36841.907000000007</v>
      </c>
      <c r="G63" s="45">
        <v>52764.760999999991</v>
      </c>
      <c r="H63" s="45">
        <f t="shared" si="6"/>
        <v>15922.853999999985</v>
      </c>
      <c r="I63" s="46">
        <f t="shared" si="7"/>
        <v>0.43219407725012665</v>
      </c>
      <c r="J63" s="38" t="s">
        <v>442</v>
      </c>
    </row>
    <row r="64" spans="2:10" ht="55.2">
      <c r="B64" s="38" t="s">
        <v>199</v>
      </c>
      <c r="C64" s="38"/>
      <c r="D64" s="38"/>
      <c r="E64" s="38"/>
      <c r="F64" s="45">
        <v>13607.155000000001</v>
      </c>
      <c r="G64" s="45">
        <v>18201.633000000002</v>
      </c>
      <c r="H64" s="45">
        <f t="shared" si="6"/>
        <v>4594.478000000001</v>
      </c>
      <c r="I64" s="46">
        <f t="shared" si="7"/>
        <v>0.33765162519277547</v>
      </c>
      <c r="J64" s="38" t="s">
        <v>443</v>
      </c>
    </row>
    <row r="65" spans="2:10" ht="55.2">
      <c r="B65" s="38" t="s">
        <v>200</v>
      </c>
      <c r="C65" s="38"/>
      <c r="D65" s="38"/>
      <c r="E65" s="38"/>
      <c r="F65" s="45">
        <v>61093.233999999982</v>
      </c>
      <c r="G65" s="45">
        <v>58601.426999999996</v>
      </c>
      <c r="H65" s="45">
        <f t="shared" si="6"/>
        <v>-2491.8069999999861</v>
      </c>
      <c r="I65" s="46">
        <f t="shared" si="7"/>
        <v>-4.0786955229772034E-2</v>
      </c>
      <c r="J65" s="38" t="s">
        <v>444</v>
      </c>
    </row>
    <row r="66" spans="2:10" ht="41.4">
      <c r="B66" s="38" t="s">
        <v>201</v>
      </c>
      <c r="C66" s="38"/>
      <c r="D66" s="38"/>
      <c r="E66" s="38"/>
      <c r="F66" s="45">
        <v>9786.994999999999</v>
      </c>
      <c r="G66" s="45">
        <v>11254.538</v>
      </c>
      <c r="H66" s="45">
        <f t="shared" si="6"/>
        <v>1467.5430000000015</v>
      </c>
      <c r="I66" s="46">
        <f t="shared" si="7"/>
        <v>0.14994827319315088</v>
      </c>
      <c r="J66" s="38" t="s">
        <v>445</v>
      </c>
    </row>
    <row r="67" spans="2:10" ht="55.2">
      <c r="B67" s="38" t="s">
        <v>202</v>
      </c>
      <c r="C67" s="38"/>
      <c r="D67" s="38"/>
      <c r="E67" s="38"/>
      <c r="F67" s="45">
        <v>5276.9840000000004</v>
      </c>
      <c r="G67" s="45">
        <v>6781.5469999999996</v>
      </c>
      <c r="H67" s="45">
        <f t="shared" si="6"/>
        <v>1504.5629999999992</v>
      </c>
      <c r="I67" s="46">
        <f t="shared" si="7"/>
        <v>0.28511797648050458</v>
      </c>
      <c r="J67" s="38" t="s">
        <v>446</v>
      </c>
    </row>
    <row r="68" spans="2:10" ht="69">
      <c r="B68" s="38" t="s">
        <v>203</v>
      </c>
      <c r="C68" s="38"/>
      <c r="D68" s="38"/>
      <c r="E68" s="38"/>
      <c r="F68" s="45">
        <v>-4912.835</v>
      </c>
      <c r="G68" s="45">
        <v>-8195.3729999999996</v>
      </c>
      <c r="H68" s="45">
        <f t="shared" si="6"/>
        <v>-3282.5379999999996</v>
      </c>
      <c r="I68" s="46">
        <f t="shared" si="7"/>
        <v>-0.66815555580433694</v>
      </c>
      <c r="J68" s="38" t="s">
        <v>447</v>
      </c>
    </row>
    <row r="69" spans="2:10" ht="55.2">
      <c r="B69" s="42" t="s">
        <v>204</v>
      </c>
      <c r="C69" s="42"/>
      <c r="D69" s="42"/>
      <c r="E69" s="42"/>
      <c r="F69" s="43">
        <v>51621.744999999995</v>
      </c>
      <c r="G69" s="43">
        <v>41139.445</v>
      </c>
      <c r="H69" s="43">
        <f t="shared" si="6"/>
        <v>-10482.299999999996</v>
      </c>
      <c r="I69" s="44">
        <f t="shared" si="7"/>
        <v>-0.2030597764566075</v>
      </c>
      <c r="J69" s="38" t="s">
        <v>448</v>
      </c>
    </row>
    <row r="70" spans="2:10" ht="41.4">
      <c r="B70" s="42" t="s">
        <v>205</v>
      </c>
      <c r="C70" s="42"/>
      <c r="D70" s="42"/>
      <c r="E70" s="42"/>
      <c r="F70" s="43">
        <v>19080.679</v>
      </c>
      <c r="G70" s="43">
        <v>19314.293000000001</v>
      </c>
      <c r="H70" s="43">
        <f t="shared" si="6"/>
        <v>233.6140000000014</v>
      </c>
      <c r="I70" s="44">
        <f t="shared" si="7"/>
        <v>1.2243484626516771E-2</v>
      </c>
      <c r="J70" s="38" t="s">
        <v>449</v>
      </c>
    </row>
    <row r="71" spans="2:10" ht="55.2">
      <c r="B71" s="42" t="s">
        <v>206</v>
      </c>
      <c r="C71" s="42"/>
      <c r="D71" s="42"/>
      <c r="E71" s="42"/>
      <c r="F71" s="43">
        <f>SUM('Balance Sheet'!F57,'Balance Sheet'!F62,'Balance Sheet'!F69,'Balance Sheet'!F70)</f>
        <v>316708.06099999999</v>
      </c>
      <c r="G71" s="43">
        <f>SUM('Balance Sheet'!G57,'Balance Sheet'!G62,'Balance Sheet'!G69,'Balance Sheet'!G70)</f>
        <v>356919.64399999997</v>
      </c>
      <c r="H71" s="43">
        <f t="shared" si="6"/>
        <v>40211.582999999984</v>
      </c>
      <c r="I71" s="44">
        <f t="shared" si="7"/>
        <v>0.12696734927754172</v>
      </c>
      <c r="J71" s="38" t="s">
        <v>450</v>
      </c>
    </row>
    <row r="72" spans="2:10">
      <c r="B72" s="38"/>
      <c r="C72" s="38"/>
      <c r="D72" s="38"/>
      <c r="E72" s="38"/>
      <c r="F72" s="45"/>
      <c r="G72" s="45"/>
      <c r="H72" s="45"/>
      <c r="I72" s="46"/>
      <c r="J72" s="38"/>
    </row>
    <row r="73" spans="2:10">
      <c r="B73" s="42" t="s">
        <v>207</v>
      </c>
      <c r="C73" s="42"/>
      <c r="D73" s="42"/>
      <c r="E73" s="42"/>
      <c r="F73" s="43"/>
      <c r="G73" s="43"/>
      <c r="H73" s="43"/>
      <c r="I73" s="44"/>
      <c r="J73" s="42"/>
    </row>
    <row r="74" spans="2:10" ht="55.2">
      <c r="B74" s="42" t="s">
        <v>155</v>
      </c>
      <c r="C74" s="42"/>
      <c r="D74" s="42"/>
      <c r="E74" s="42"/>
      <c r="F74" s="43">
        <f>SUM('Balance Sheet'!F75,'Balance Sheet'!F76,'Balance Sheet'!F77)</f>
        <v>491556.35100000002</v>
      </c>
      <c r="G74" s="43">
        <f>SUM('Balance Sheet'!G75,'Balance Sheet'!G76,'Balance Sheet'!G77)</f>
        <v>262772.054</v>
      </c>
      <c r="H74" s="43">
        <f t="shared" ref="H74:H93" si="8">G74-F74</f>
        <v>-228784.29700000002</v>
      </c>
      <c r="I74" s="44">
        <f t="shared" ref="I74:I93" si="9">IF(F74=0,"",H74/ABS(F74))</f>
        <v>-0.46542842246788507</v>
      </c>
      <c r="J74" s="38" t="s">
        <v>451</v>
      </c>
    </row>
    <row r="75" spans="2:10" ht="69">
      <c r="B75" s="38" t="s">
        <v>156</v>
      </c>
      <c r="C75" s="38"/>
      <c r="D75" s="38"/>
      <c r="E75" s="38"/>
      <c r="F75" s="45">
        <v>84055.622000000061</v>
      </c>
      <c r="G75" s="45">
        <v>100108.41499999998</v>
      </c>
      <c r="H75" s="45">
        <f t="shared" si="8"/>
        <v>16052.792999999918</v>
      </c>
      <c r="I75" s="46">
        <f t="shared" si="9"/>
        <v>0.19097821916063992</v>
      </c>
      <c r="J75" s="38" t="s">
        <v>452</v>
      </c>
    </row>
    <row r="76" spans="2:10" ht="55.2">
      <c r="B76" s="38" t="s">
        <v>157</v>
      </c>
      <c r="C76" s="38"/>
      <c r="D76" s="38"/>
      <c r="E76" s="38"/>
      <c r="F76" s="45">
        <v>3080.739</v>
      </c>
      <c r="G76" s="45">
        <v>2100.0819999999999</v>
      </c>
      <c r="H76" s="45">
        <f t="shared" si="8"/>
        <v>-980.65700000000015</v>
      </c>
      <c r="I76" s="46">
        <f t="shared" si="9"/>
        <v>-0.31831875403920945</v>
      </c>
      <c r="J76" s="38" t="s">
        <v>453</v>
      </c>
    </row>
    <row r="77" spans="2:10" ht="55.2">
      <c r="B77" s="38" t="s">
        <v>208</v>
      </c>
      <c r="C77" s="38"/>
      <c r="D77" s="38"/>
      <c r="E77" s="38"/>
      <c r="F77" s="45">
        <v>404419.99</v>
      </c>
      <c r="G77" s="45">
        <v>160563.557</v>
      </c>
      <c r="H77" s="45">
        <f t="shared" si="8"/>
        <v>-243856.43299999999</v>
      </c>
      <c r="I77" s="46">
        <f t="shared" si="9"/>
        <v>-0.60297818859052932</v>
      </c>
      <c r="J77" s="38" t="s">
        <v>454</v>
      </c>
    </row>
    <row r="78" spans="2:10" ht="55.2">
      <c r="B78" s="42" t="s">
        <v>209</v>
      </c>
      <c r="C78" s="42"/>
      <c r="D78" s="42"/>
      <c r="E78" s="42"/>
      <c r="F78" s="43">
        <f>ROUND(SUM('Balance Sheet'!F79,'Balance Sheet'!F80,'Balance Sheet'!F81,'Balance Sheet'!F82,'Balance Sheet'!F83),0)</f>
        <v>1121811</v>
      </c>
      <c r="G78" s="43">
        <f>ROUND(SUM('Balance Sheet'!G79,'Balance Sheet'!G80,'Balance Sheet'!G81,'Balance Sheet'!G82,'Balance Sheet'!G83),0)</f>
        <v>1065169</v>
      </c>
      <c r="H78" s="43">
        <f t="shared" si="8"/>
        <v>-56642</v>
      </c>
      <c r="I78" s="44">
        <f t="shared" si="9"/>
        <v>-5.0491571218324656E-2</v>
      </c>
      <c r="J78" s="38" t="s">
        <v>455</v>
      </c>
    </row>
    <row r="79" spans="2:10" ht="55.2">
      <c r="B79" s="38" t="s">
        <v>210</v>
      </c>
      <c r="C79" s="38"/>
      <c r="D79" s="38"/>
      <c r="E79" s="38"/>
      <c r="F79" s="45">
        <v>766022.52699999977</v>
      </c>
      <c r="G79" s="45">
        <v>705275.56199999957</v>
      </c>
      <c r="H79" s="45">
        <f t="shared" si="8"/>
        <v>-60746.9650000002</v>
      </c>
      <c r="I79" s="46">
        <f t="shared" si="9"/>
        <v>-7.9301799697595862E-2</v>
      </c>
      <c r="J79" s="38" t="s">
        <v>456</v>
      </c>
    </row>
    <row r="80" spans="2:10" ht="55.2">
      <c r="B80" s="38" t="s">
        <v>211</v>
      </c>
      <c r="C80" s="38"/>
      <c r="D80" s="38"/>
      <c r="E80" s="38"/>
      <c r="F80" s="45">
        <v>41682.601000000002</v>
      </c>
      <c r="G80" s="45">
        <v>36119.059000000001</v>
      </c>
      <c r="H80" s="45">
        <f t="shared" si="8"/>
        <v>-5563.5420000000013</v>
      </c>
      <c r="I80" s="46">
        <f t="shared" si="9"/>
        <v>-0.13347396435265643</v>
      </c>
      <c r="J80" s="38" t="s">
        <v>457</v>
      </c>
    </row>
    <row r="81" spans="2:10" ht="55.2">
      <c r="B81" s="38" t="s">
        <v>212</v>
      </c>
      <c r="C81" s="38"/>
      <c r="D81" s="38"/>
      <c r="E81" s="38"/>
      <c r="F81" s="45">
        <v>138629.47700000001</v>
      </c>
      <c r="G81" s="45">
        <v>164137.75899999999</v>
      </c>
      <c r="H81" s="45">
        <f t="shared" si="8"/>
        <v>25508.281999999977</v>
      </c>
      <c r="I81" s="46">
        <f t="shared" si="9"/>
        <v>0.18400330544419477</v>
      </c>
      <c r="J81" s="38" t="s">
        <v>458</v>
      </c>
    </row>
    <row r="82" spans="2:10" ht="41.4">
      <c r="B82" s="38" t="s">
        <v>213</v>
      </c>
      <c r="C82" s="38"/>
      <c r="D82" s="38"/>
      <c r="E82" s="38"/>
      <c r="F82" s="45">
        <v>175476.15800000002</v>
      </c>
      <c r="G82" s="45">
        <v>159636.32200000001</v>
      </c>
      <c r="H82" s="45">
        <f t="shared" si="8"/>
        <v>-15839.83600000001</v>
      </c>
      <c r="I82" s="46">
        <f t="shared" si="9"/>
        <v>-9.0267738822957411E-2</v>
      </c>
      <c r="J82" s="38" t="s">
        <v>459</v>
      </c>
    </row>
    <row r="83" spans="2:10" ht="55.2">
      <c r="B83" s="38" t="s">
        <v>214</v>
      </c>
      <c r="C83" s="38"/>
      <c r="D83" s="38"/>
      <c r="E83" s="38"/>
      <c r="F83" s="45">
        <v>0</v>
      </c>
      <c r="G83" s="45">
        <v>0</v>
      </c>
      <c r="H83" s="45">
        <f t="shared" si="8"/>
        <v>0</v>
      </c>
      <c r="I83" s="46" t="str">
        <f t="shared" si="9"/>
        <v/>
      </c>
      <c r="J83" s="38" t="s">
        <v>460</v>
      </c>
    </row>
    <row r="84" spans="2:10" ht="55.2">
      <c r="B84" s="42" t="s">
        <v>158</v>
      </c>
      <c r="C84" s="42"/>
      <c r="D84" s="42"/>
      <c r="E84" s="42"/>
      <c r="F84" s="43">
        <v>457569.8915653351</v>
      </c>
      <c r="G84" s="43">
        <v>450200.69100000011</v>
      </c>
      <c r="H84" s="43">
        <f t="shared" si="8"/>
        <v>-7369.2005653349916</v>
      </c>
      <c r="I84" s="44">
        <f t="shared" si="9"/>
        <v>-1.6105081870935917E-2</v>
      </c>
      <c r="J84" s="38" t="s">
        <v>461</v>
      </c>
    </row>
    <row r="85" spans="2:10" ht="55.2">
      <c r="B85" s="42" t="s">
        <v>185</v>
      </c>
      <c r="C85" s="42"/>
      <c r="D85" s="42"/>
      <c r="E85" s="42"/>
      <c r="F85" s="43">
        <v>61009.54</v>
      </c>
      <c r="G85" s="43">
        <v>86372.218000000008</v>
      </c>
      <c r="H85" s="43">
        <f t="shared" si="8"/>
        <v>25362.678000000007</v>
      </c>
      <c r="I85" s="44">
        <f t="shared" si="9"/>
        <v>0.41571659120852256</v>
      </c>
      <c r="J85" s="38" t="s">
        <v>462</v>
      </c>
    </row>
    <row r="86" spans="2:10" ht="41.4">
      <c r="B86" s="38" t="s">
        <v>215</v>
      </c>
      <c r="C86" s="38"/>
      <c r="D86" s="38"/>
      <c r="E86" s="38"/>
      <c r="F86" s="45">
        <v>55554.54</v>
      </c>
      <c r="G86" s="45">
        <v>61009.54</v>
      </c>
      <c r="H86" s="45">
        <f t="shared" si="8"/>
        <v>5455</v>
      </c>
      <c r="I86" s="46">
        <f t="shared" si="9"/>
        <v>9.8191794946011615E-2</v>
      </c>
      <c r="J86" s="38" t="s">
        <v>463</v>
      </c>
    </row>
    <row r="87" spans="2:10" ht="41.4">
      <c r="B87" s="38" t="s">
        <v>216</v>
      </c>
      <c r="C87" s="38"/>
      <c r="D87" s="38"/>
      <c r="E87" s="38"/>
      <c r="F87" s="45">
        <v>4341</v>
      </c>
      <c r="G87" s="45">
        <v>6226.8090000000002</v>
      </c>
      <c r="H87" s="45">
        <f t="shared" si="8"/>
        <v>1885.8090000000002</v>
      </c>
      <c r="I87" s="46">
        <f t="shared" si="9"/>
        <v>0.43441810642709056</v>
      </c>
      <c r="J87" s="38" t="s">
        <v>464</v>
      </c>
    </row>
    <row r="88" spans="2:10" ht="55.2">
      <c r="B88" s="38" t="s">
        <v>217</v>
      </c>
      <c r="C88" s="38"/>
      <c r="D88" s="38"/>
      <c r="E88" s="38"/>
      <c r="F88" s="45">
        <v>0</v>
      </c>
      <c r="G88" s="45">
        <v>10022.322</v>
      </c>
      <c r="H88" s="45">
        <f t="shared" si="8"/>
        <v>10022.322</v>
      </c>
      <c r="I88" s="46" t="str">
        <f t="shared" si="9"/>
        <v/>
      </c>
      <c r="J88" s="38" t="s">
        <v>465</v>
      </c>
    </row>
    <row r="89" spans="2:10" ht="55.2">
      <c r="B89" s="38" t="s">
        <v>218</v>
      </c>
      <c r="C89" s="38"/>
      <c r="D89" s="38"/>
      <c r="E89" s="38"/>
      <c r="F89" s="45">
        <v>1114</v>
      </c>
      <c r="G89" s="45">
        <v>10091.547</v>
      </c>
      <c r="H89" s="45">
        <f t="shared" si="8"/>
        <v>8977.5470000000005</v>
      </c>
      <c r="I89" s="46">
        <f t="shared" si="9"/>
        <v>8.0588393177737885</v>
      </c>
      <c r="J89" s="38" t="s">
        <v>466</v>
      </c>
    </row>
    <row r="90" spans="2:10" ht="55.2">
      <c r="B90" s="38" t="s">
        <v>219</v>
      </c>
      <c r="C90" s="38"/>
      <c r="D90" s="38"/>
      <c r="E90" s="38"/>
      <c r="F90" s="45">
        <v>0</v>
      </c>
      <c r="G90" s="45">
        <v>-978</v>
      </c>
      <c r="H90" s="45">
        <f t="shared" si="8"/>
        <v>-978</v>
      </c>
      <c r="I90" s="46" t="str">
        <f t="shared" si="9"/>
        <v/>
      </c>
      <c r="J90" s="38" t="s">
        <v>467</v>
      </c>
    </row>
    <row r="91" spans="2:10" ht="69">
      <c r="B91" s="42" t="s">
        <v>220</v>
      </c>
      <c r="C91" s="42"/>
      <c r="D91" s="42"/>
      <c r="E91" s="42"/>
      <c r="F91" s="43">
        <f>SUM('Balance Sheet'!F74,'Balance Sheet'!F78,'Balance Sheet'!F84,'Balance Sheet'!F85)</f>
        <v>2131946.7825653353</v>
      </c>
      <c r="G91" s="43">
        <f>SUM('Balance Sheet'!G74,'Balance Sheet'!G78,'Balance Sheet'!G84,'Balance Sheet'!G85)</f>
        <v>1864513.9630000002</v>
      </c>
      <c r="H91" s="43">
        <f t="shared" si="8"/>
        <v>-267432.81956533506</v>
      </c>
      <c r="I91" s="44">
        <f t="shared" si="9"/>
        <v>-0.12544066378783511</v>
      </c>
      <c r="J91" s="38" t="s">
        <v>468</v>
      </c>
    </row>
    <row r="92" spans="2:10" ht="69">
      <c r="B92" s="42" t="s">
        <v>221</v>
      </c>
      <c r="C92" s="42"/>
      <c r="D92" s="42"/>
      <c r="E92" s="42"/>
      <c r="F92" s="43">
        <f>'Balance Sheet'!F71-'Balance Sheet'!F91</f>
        <v>-1815238.7215653353</v>
      </c>
      <c r="G92" s="43">
        <f>'Balance Sheet'!G71-'Balance Sheet'!G91</f>
        <v>-1507594.3190000001</v>
      </c>
      <c r="H92" s="43">
        <f t="shared" si="8"/>
        <v>307644.40256533516</v>
      </c>
      <c r="I92" s="44">
        <f t="shared" si="9"/>
        <v>0.1694787572072306</v>
      </c>
      <c r="J92" s="38" t="s">
        <v>469</v>
      </c>
    </row>
    <row r="93" spans="2:10" ht="69">
      <c r="B93" s="42" t="s">
        <v>222</v>
      </c>
      <c r="C93" s="42"/>
      <c r="D93" s="42"/>
      <c r="E93" s="42"/>
      <c r="F93" s="43">
        <f>SUM('Balance Sheet'!F54,'Balance Sheet'!F92)</f>
        <v>-259937.18656533514</v>
      </c>
      <c r="G93" s="43">
        <f>SUM('Balance Sheet'!G54,'Balance Sheet'!G92)</f>
        <v>249939.11599999969</v>
      </c>
      <c r="H93" s="43">
        <f t="shared" si="8"/>
        <v>509876.30256533483</v>
      </c>
      <c r="I93" s="44">
        <f t="shared" si="9"/>
        <v>1.961536590060682</v>
      </c>
      <c r="J93" s="38" t="s">
        <v>470</v>
      </c>
    </row>
    <row r="94" spans="2:10">
      <c r="B94" s="38"/>
      <c r="C94" s="38"/>
      <c r="D94" s="38"/>
      <c r="E94" s="38"/>
      <c r="F94" s="45"/>
      <c r="G94" s="45"/>
      <c r="H94" s="45"/>
      <c r="I94" s="46"/>
      <c r="J94" s="38"/>
    </row>
    <row r="95" spans="2:10">
      <c r="J95" s="56"/>
    </row>
    <row r="96" spans="2:10">
      <c r="J96" s="56"/>
    </row>
    <row r="97" spans="10:10">
      <c r="J97" s="56"/>
    </row>
    <row r="98" spans="10:10" ht="28.05" customHeight="1"/>
    <row r="99" spans="10:10" ht="28.05" customHeight="1"/>
    <row r="100" spans="10:10" ht="28.05" customHeight="1"/>
    <row r="101" spans="10:10" ht="28.05" customHeight="1"/>
    <row r="102" spans="10:10" ht="28.05" customHeight="1"/>
    <row r="103" spans="10:10" ht="28.05" customHeight="1"/>
    <row r="104" spans="10:10" ht="28.05" customHeight="1"/>
    <row r="105" spans="10:10" ht="28.05" customHeight="1"/>
    <row r="106" spans="10:10" ht="28.05" customHeight="1"/>
    <row r="107" spans="10:10" ht="28.05" customHeight="1"/>
    <row r="108" spans="10:10" ht="28.05" customHeight="1"/>
    <row r="109" spans="10:10" ht="28.05" customHeight="1"/>
    <row r="110" spans="10:10" ht="28.05" customHeight="1"/>
    <row r="111" spans="10:10" ht="28.05" customHeight="1"/>
    <row r="112" spans="10:10" ht="28.05" customHeight="1"/>
    <row r="113" s="30" customFormat="1" ht="28.05" customHeight="1"/>
    <row r="114" s="30" customFormat="1" ht="28.05" customHeight="1"/>
    <row r="115" s="30" customFormat="1" ht="28.05" customHeight="1"/>
    <row r="116" s="30" customFormat="1" ht="28.05" customHeight="1"/>
    <row r="117" s="30" customFormat="1" ht="28.05" customHeight="1"/>
    <row r="118" s="30" customFormat="1" ht="28.05" customHeight="1"/>
    <row r="119" s="30" customFormat="1" ht="28.05" customHeight="1"/>
    <row r="120" s="30" customFormat="1" ht="28.05" customHeight="1"/>
    <row r="121" s="30" customFormat="1" ht="28.05" customHeight="1"/>
    <row r="122" s="30" customFormat="1" ht="28.05" customHeight="1"/>
    <row r="123" s="30" customFormat="1" ht="28.05" customHeight="1"/>
    <row r="124" s="30" customFormat="1" ht="28.05" customHeight="1"/>
    <row r="125" s="30" customFormat="1" ht="28.05" customHeight="1"/>
    <row r="126" s="30" customFormat="1" ht="28.05" customHeight="1"/>
    <row r="127" s="30" customFormat="1" ht="28.05" customHeight="1"/>
    <row r="128" s="30" customFormat="1" ht="28.05" customHeight="1"/>
    <row r="129" s="30" customFormat="1" ht="28.05" customHeight="1"/>
    <row r="130" s="30" customFormat="1" ht="28.05" customHeight="1"/>
    <row r="131" s="30" customFormat="1" ht="28.05" customHeight="1"/>
    <row r="132" s="30" customFormat="1" ht="28.05" customHeight="1"/>
    <row r="133" s="30" customFormat="1" ht="28.05" customHeight="1"/>
    <row r="134" s="30" customFormat="1" ht="28.05" customHeight="1"/>
    <row r="135" s="30" customFormat="1" ht="28.05" customHeight="1"/>
    <row r="136" s="30" customFormat="1" ht="28.05" customHeight="1"/>
    <row r="137" s="30" customFormat="1" ht="28.05" customHeight="1"/>
    <row r="138" s="30" customFormat="1" ht="28.05" customHeight="1"/>
    <row r="139" s="30" customFormat="1" ht="28.05" customHeight="1"/>
    <row r="140" s="30" customFormat="1" ht="28.05" customHeight="1"/>
    <row r="141" s="30" customFormat="1" ht="28.05" customHeight="1"/>
    <row r="142" s="30" customFormat="1" ht="28.05" customHeight="1"/>
    <row r="143" s="30" customFormat="1" ht="28.05" customHeight="1"/>
    <row r="144" s="30" customFormat="1" ht="28.05" customHeight="1"/>
    <row r="145" s="30" customFormat="1" ht="28.05" customHeight="1"/>
    <row r="146" s="30" customFormat="1" ht="28.05" customHeight="1"/>
    <row r="147" s="30" customFormat="1" ht="28.05" customHeight="1"/>
    <row r="148" s="30" customFormat="1" ht="28.05" customHeight="1"/>
    <row r="149" s="30" customFormat="1" ht="28.05" customHeight="1"/>
    <row r="150" s="30" customFormat="1" ht="28.05" customHeight="1"/>
    <row r="151" s="30" customFormat="1" ht="28.05" customHeight="1"/>
    <row r="152" s="30" customFormat="1" ht="28.05" customHeight="1"/>
    <row r="153" s="30" customFormat="1" ht="28.05" customHeight="1"/>
    <row r="154" s="30" customFormat="1" ht="28.05" customHeight="1"/>
    <row r="155" s="30" customFormat="1" ht="28.05" customHeight="1"/>
    <row r="156" s="30" customFormat="1" ht="28.05" customHeight="1"/>
    <row r="157" s="30" customFormat="1" ht="28.05" customHeight="1"/>
    <row r="158" s="30" customFormat="1" ht="28.05" customHeight="1"/>
    <row r="159" s="30" customFormat="1" ht="28.05" customHeight="1"/>
    <row r="160" s="30" customFormat="1" ht="28.05" customHeight="1"/>
    <row r="161" s="30" customFormat="1" ht="28.05" customHeight="1"/>
    <row r="162" s="30" customFormat="1" ht="28.05" customHeight="1"/>
    <row r="163" s="30" customFormat="1" ht="28.05" customHeight="1"/>
    <row r="164" s="30" customFormat="1" ht="28.05" customHeight="1"/>
    <row r="165" s="30" customFormat="1" ht="28.05" customHeight="1"/>
    <row r="166" s="30" customFormat="1" ht="28.05" customHeight="1"/>
    <row r="167" s="30" customFormat="1" ht="28.05" customHeight="1"/>
    <row r="168" s="30" customFormat="1" ht="28.05" customHeight="1"/>
    <row r="169" s="30" customFormat="1" ht="28.05" customHeight="1"/>
    <row r="170" s="30" customFormat="1" ht="28.05" customHeight="1"/>
    <row r="171" s="30" customFormat="1" ht="28.05" customHeight="1"/>
    <row r="172" s="30" customFormat="1" ht="28.05" customHeight="1"/>
    <row r="173" s="30" customFormat="1" ht="28.05" customHeight="1"/>
    <row r="174" s="30" customFormat="1" ht="28.05" customHeight="1"/>
    <row r="175" s="30" customFormat="1" ht="28.05" customHeight="1"/>
    <row r="176" s="30" customFormat="1" ht="28.05" customHeight="1"/>
    <row r="177" s="30" customFormat="1" ht="28.05" customHeight="1"/>
    <row r="178" s="30" customFormat="1" ht="28.05" customHeight="1"/>
    <row r="179" s="30" customFormat="1" ht="28.05" customHeight="1"/>
    <row r="180" s="30" customFormat="1" ht="28.05" customHeight="1"/>
    <row r="181" s="30" customFormat="1" ht="28.05" customHeight="1"/>
    <row r="182" s="30" customFormat="1" ht="28.05" customHeight="1"/>
    <row r="183" s="30" customFormat="1" ht="28.05" customHeight="1"/>
    <row r="184" s="30" customFormat="1" ht="28.05" customHeight="1"/>
    <row r="185" s="30" customFormat="1" ht="28.05" customHeight="1"/>
    <row r="186" s="30" customFormat="1" ht="28.05" customHeight="1"/>
    <row r="187" s="30" customFormat="1" ht="28.05" customHeight="1"/>
    <row r="188" s="30" customFormat="1" ht="28.05" customHeight="1"/>
    <row r="189" s="30" customFormat="1" ht="28.05" customHeight="1"/>
    <row r="190" s="30" customFormat="1" ht="28.05" customHeight="1"/>
    <row r="191" s="30" customFormat="1" ht="28.05" customHeight="1"/>
    <row r="192" s="30" customFormat="1" ht="28.05" customHeight="1"/>
    <row r="193" s="30" customFormat="1" ht="28.05" customHeight="1"/>
    <row r="194" s="30" customFormat="1" ht="28.05" customHeight="1"/>
    <row r="195" s="30" customFormat="1" ht="28.05" customHeight="1"/>
    <row r="196" s="30" customFormat="1" ht="28.05" customHeight="1"/>
    <row r="197" s="30" customFormat="1" ht="28.05" customHeight="1"/>
    <row r="198" s="30" customFormat="1" ht="28.05" customHeight="1"/>
    <row r="199" s="30" customFormat="1" ht="28.05" customHeight="1"/>
    <row r="200" s="30" customFormat="1" ht="28.05" customHeight="1"/>
    <row r="201" s="30" customFormat="1" ht="28.05" customHeight="1"/>
    <row r="202" s="30" customFormat="1" ht="28.05" customHeight="1"/>
    <row r="203" s="30" customFormat="1" ht="28.05" customHeight="1"/>
    <row r="204" s="30" customFormat="1" ht="28.05" customHeight="1"/>
    <row r="205" s="30" customFormat="1" ht="28.05" customHeight="1"/>
    <row r="206" s="30" customFormat="1" ht="28.05" customHeight="1"/>
    <row r="207" s="30" customFormat="1" ht="28.05" customHeight="1"/>
    <row r="208" s="30" customFormat="1" ht="28.05" customHeight="1"/>
    <row r="209" s="30" customFormat="1" ht="28.05" customHeight="1"/>
    <row r="210" s="30" customFormat="1" ht="28.05" customHeight="1"/>
    <row r="211" s="30" customFormat="1" ht="28.05" customHeight="1"/>
    <row r="212" s="30" customFormat="1" ht="28.05" customHeight="1"/>
    <row r="213" s="30" customFormat="1" ht="28.05" customHeight="1"/>
    <row r="214" s="30" customFormat="1" ht="28.05" customHeight="1"/>
    <row r="215" s="30" customFormat="1" ht="28.05" customHeight="1"/>
    <row r="216" s="30" customFormat="1" ht="28.05" customHeight="1"/>
    <row r="217" s="30" customFormat="1" ht="28.05" customHeight="1"/>
    <row r="218" s="30" customFormat="1" ht="28.05" customHeight="1"/>
    <row r="219" s="30" customFormat="1" ht="28.05" customHeight="1"/>
    <row r="220" s="30" customFormat="1" ht="28.05" customHeight="1"/>
    <row r="221" s="30" customFormat="1" ht="28.05" customHeight="1"/>
    <row r="222" s="30" customFormat="1" ht="28.05" customHeight="1"/>
    <row r="223" s="30" customFormat="1" ht="28.05" customHeight="1"/>
    <row r="224" s="30" customFormat="1" ht="28.05" customHeight="1"/>
    <row r="225" s="30" customFormat="1" ht="28.05" customHeight="1"/>
    <row r="226" s="30" customFormat="1" ht="28.05" customHeight="1"/>
    <row r="227" s="30" customFormat="1" ht="28.05" customHeight="1"/>
    <row r="228" s="30" customFormat="1" ht="28.05" customHeight="1"/>
    <row r="229" s="30" customFormat="1" ht="28.05" customHeight="1"/>
    <row r="230" s="30" customFormat="1" ht="28.05" customHeight="1"/>
    <row r="231" s="30" customFormat="1" ht="28.05" customHeight="1"/>
    <row r="232" s="30" customFormat="1" ht="28.05" customHeight="1"/>
    <row r="233" s="30" customFormat="1" ht="28.05" customHeight="1"/>
    <row r="234" s="30" customFormat="1" ht="28.05" customHeight="1"/>
    <row r="235" s="30" customFormat="1" ht="28.05" customHeight="1"/>
    <row r="236" s="30" customFormat="1" ht="28.05" customHeight="1"/>
    <row r="237" s="30" customFormat="1" ht="28.05" customHeight="1"/>
    <row r="238" s="30" customFormat="1" ht="28.05" customHeight="1"/>
    <row r="239" s="30" customFormat="1" ht="28.05" customHeight="1"/>
    <row r="240" s="30" customFormat="1" ht="28.05" customHeight="1"/>
    <row r="241" s="30" customFormat="1" ht="28.05" customHeight="1"/>
    <row r="242" s="30" customFormat="1" ht="28.05" customHeight="1"/>
    <row r="243" s="30" customFormat="1" ht="28.05" customHeight="1"/>
    <row r="244" s="30" customFormat="1" ht="28.05" customHeight="1"/>
    <row r="245" s="30" customFormat="1" ht="28.05" customHeight="1"/>
    <row r="246" s="30" customFormat="1" ht="28.05" customHeight="1"/>
    <row r="247" s="30" customFormat="1" ht="28.05" customHeight="1"/>
    <row r="248" s="30" customFormat="1" ht="28.05" customHeight="1"/>
    <row r="249" s="30" customFormat="1" ht="28.05" customHeight="1"/>
    <row r="250" s="30" customFormat="1" ht="28.05" customHeight="1"/>
    <row r="251" s="30" customFormat="1" ht="28.05" customHeight="1"/>
    <row r="252" s="30" customFormat="1" ht="28.05" customHeight="1"/>
    <row r="253" s="30" customFormat="1" ht="28.05" customHeight="1"/>
    <row r="254" s="30" customFormat="1" ht="28.05" customHeight="1"/>
    <row r="255" s="30" customFormat="1" ht="28.05" customHeight="1"/>
    <row r="256" s="30" customFormat="1" ht="28.05" customHeight="1"/>
    <row r="257" s="30" customFormat="1" ht="28.05" customHeight="1"/>
    <row r="258" s="30" customFormat="1" ht="28.05" customHeight="1"/>
    <row r="259" s="30" customFormat="1" ht="28.05" customHeight="1"/>
    <row r="260" s="30" customFormat="1" ht="28.05" customHeight="1"/>
    <row r="261" s="30" customFormat="1" ht="28.05" customHeight="1"/>
    <row r="262" s="30" customFormat="1" ht="28.05" customHeight="1"/>
    <row r="263" s="30" customFormat="1" ht="28.05" customHeight="1"/>
    <row r="264" s="30" customFormat="1" ht="28.05" customHeight="1"/>
    <row r="265" s="30" customFormat="1" ht="28.05" customHeight="1"/>
    <row r="266" s="30" customFormat="1" ht="28.05" customHeight="1"/>
    <row r="267" s="30" customFormat="1" ht="28.05" customHeight="1"/>
    <row r="268" s="30" customFormat="1" ht="28.05" customHeight="1"/>
    <row r="269" s="30" customFormat="1" ht="28.05" customHeight="1"/>
    <row r="270" s="30" customFormat="1" ht="28.05" customHeight="1"/>
    <row r="271" s="30" customFormat="1" ht="28.05" customHeight="1"/>
    <row r="272" s="30" customFormat="1" ht="28.05" customHeight="1"/>
    <row r="273" s="30" customFormat="1" ht="28.05" customHeight="1"/>
    <row r="274" s="30" customFormat="1" ht="28.05" customHeight="1"/>
    <row r="275" s="30" customFormat="1" ht="28.05" customHeight="1"/>
    <row r="276" s="30" customFormat="1" ht="28.05" customHeight="1"/>
    <row r="277" s="30" customFormat="1" ht="28.05" customHeight="1"/>
    <row r="278" s="30" customFormat="1" ht="28.05" customHeight="1"/>
    <row r="279" s="30" customFormat="1" ht="28.05" customHeight="1"/>
    <row r="280" s="30" customFormat="1" ht="28.05" customHeight="1"/>
    <row r="281" s="30" customFormat="1" ht="28.05" customHeight="1"/>
    <row r="282" s="30" customFormat="1" ht="28.05" customHeight="1"/>
    <row r="283" s="30" customFormat="1" ht="28.05" customHeight="1"/>
    <row r="284" s="30" customFormat="1" ht="28.05" customHeight="1"/>
    <row r="285" s="30" customFormat="1" ht="28.05" customHeight="1"/>
    <row r="286" s="30" customFormat="1" ht="28.05" customHeight="1"/>
    <row r="287" s="30" customFormat="1" ht="28.05" customHeight="1"/>
    <row r="288" s="30" customFormat="1" ht="28.05" customHeight="1"/>
    <row r="289" s="30" customFormat="1" ht="28.05" customHeight="1"/>
    <row r="290" s="30" customFormat="1" ht="28.05" customHeight="1"/>
    <row r="291" s="30" customFormat="1" ht="28.05" customHeight="1"/>
    <row r="292" s="30" customFormat="1" ht="28.05" customHeight="1"/>
    <row r="293" s="30" customFormat="1" ht="28.05" customHeight="1"/>
    <row r="294" s="30" customFormat="1" ht="28.05" customHeight="1"/>
    <row r="295" s="30" customFormat="1" ht="28.05" customHeight="1"/>
    <row r="296" s="30" customFormat="1" ht="28.05" customHeight="1"/>
    <row r="297" s="30" customFormat="1" ht="28.05" customHeight="1"/>
    <row r="298" s="30" customFormat="1" ht="28.05" customHeight="1"/>
    <row r="299" s="30" customFormat="1" ht="28.05" customHeight="1"/>
    <row r="300" s="30" customFormat="1" ht="28.05" customHeight="1"/>
    <row r="301" s="30" customFormat="1" ht="28.05" customHeight="1"/>
    <row r="302" s="30" customFormat="1" ht="28.05" customHeight="1"/>
    <row r="303" s="30" customFormat="1" ht="28.05" customHeight="1"/>
    <row r="304" s="30" customFormat="1" ht="28.05" customHeight="1"/>
    <row r="305" s="30" customFormat="1" ht="28.05" customHeight="1"/>
    <row r="306" s="30" customFormat="1" ht="28.05" customHeight="1"/>
    <row r="307" s="30" customFormat="1" ht="28.05" customHeight="1"/>
    <row r="308" s="30" customFormat="1" ht="28.05" customHeight="1"/>
    <row r="309" s="30" customFormat="1" ht="28.05" customHeight="1"/>
    <row r="310" s="30" customFormat="1" ht="28.05" customHeight="1"/>
    <row r="311" s="30" customFormat="1" ht="28.05" customHeight="1"/>
    <row r="312" s="30" customFormat="1" ht="28.05" customHeight="1"/>
    <row r="313" s="30" customFormat="1" ht="28.05" customHeight="1"/>
    <row r="314" s="30" customFormat="1" ht="28.05" customHeight="1"/>
    <row r="315" s="30" customFormat="1" ht="28.05" customHeight="1"/>
    <row r="316" s="30" customFormat="1" ht="28.05" customHeight="1"/>
    <row r="317" s="30" customFormat="1" ht="28.05" customHeight="1"/>
    <row r="318" s="30" customFormat="1" ht="28.05" customHeight="1"/>
    <row r="319" s="30" customFormat="1" ht="28.05" customHeight="1"/>
    <row r="320" s="30" customFormat="1" ht="28.05" customHeight="1"/>
    <row r="321" s="30" customFormat="1" ht="28.05" customHeight="1"/>
    <row r="322" s="30" customFormat="1" ht="28.05" customHeight="1"/>
    <row r="323" s="30" customFormat="1" ht="28.05" customHeight="1"/>
    <row r="324" s="30" customFormat="1" ht="28.05" customHeight="1"/>
    <row r="325" s="30" customFormat="1" ht="28.05" customHeight="1"/>
    <row r="326" s="30" customFormat="1" ht="28.05" customHeight="1"/>
    <row r="327" s="30" customFormat="1" ht="28.05" customHeight="1"/>
    <row r="328" s="30" customFormat="1" ht="28.05" customHeight="1"/>
    <row r="329" s="30" customFormat="1" ht="28.05" customHeight="1"/>
    <row r="330" s="30" customFormat="1" ht="28.05" customHeight="1"/>
    <row r="331" s="30" customFormat="1" ht="28.05" customHeight="1"/>
    <row r="332" s="30" customFormat="1" ht="28.05" customHeight="1"/>
    <row r="333" s="30" customFormat="1" ht="28.05" customHeight="1"/>
    <row r="334" s="30" customFormat="1" ht="28.05" customHeight="1"/>
    <row r="335" s="30" customFormat="1" ht="28.05" customHeight="1"/>
    <row r="336" s="30" customFormat="1" ht="28.05" customHeight="1"/>
    <row r="337" s="30" customFormat="1" ht="28.05" customHeight="1"/>
    <row r="338" s="30" customFormat="1" ht="28.05" customHeight="1"/>
    <row r="339" s="30" customFormat="1" ht="28.05" customHeight="1"/>
    <row r="340" s="30" customFormat="1" ht="28.05" customHeight="1"/>
    <row r="341" s="30" customFormat="1" ht="28.05" customHeight="1"/>
    <row r="342" s="30" customFormat="1" ht="28.05" customHeight="1"/>
    <row r="343" s="30" customFormat="1" ht="28.05" customHeight="1"/>
    <row r="344" s="30" customFormat="1" ht="28.05" customHeight="1"/>
    <row r="345" s="30" customFormat="1" ht="28.05" customHeight="1"/>
    <row r="346" s="30" customFormat="1" ht="28.05" customHeight="1"/>
    <row r="347" s="30" customFormat="1" ht="28.05" customHeight="1"/>
    <row r="348" s="30" customFormat="1" ht="28.05" customHeight="1"/>
    <row r="349" s="30" customFormat="1" ht="28.05" customHeight="1"/>
    <row r="350" s="30" customFormat="1" ht="28.05" customHeight="1"/>
    <row r="351" s="30" customFormat="1" ht="28.05" customHeight="1"/>
    <row r="352" s="30" customFormat="1" ht="28.05" customHeight="1"/>
    <row r="353" s="30" customFormat="1" ht="28.05" customHeight="1"/>
    <row r="354" s="30" customFormat="1" ht="28.05" customHeight="1"/>
    <row r="355" s="30" customFormat="1" ht="28.05" customHeight="1"/>
    <row r="356" s="30" customFormat="1" ht="28.05" customHeight="1"/>
    <row r="357" s="30" customFormat="1" ht="28.05" customHeight="1"/>
    <row r="358" s="30" customFormat="1" ht="28.05" customHeight="1"/>
    <row r="359" s="30" customFormat="1" ht="28.05" customHeight="1"/>
    <row r="360" s="30" customFormat="1" ht="28.05" customHeight="1"/>
    <row r="361" s="30" customFormat="1" ht="28.05" customHeight="1"/>
    <row r="362" s="30" customFormat="1" ht="28.05" customHeight="1"/>
    <row r="363" s="30" customFormat="1" ht="28.05" customHeight="1"/>
    <row r="364" s="30" customFormat="1" ht="28.05" customHeight="1"/>
    <row r="365" s="30" customFormat="1" ht="28.05" customHeight="1"/>
    <row r="366" s="30" customFormat="1" ht="28.05" customHeight="1"/>
    <row r="367" s="30" customFormat="1" ht="28.05" customHeight="1"/>
    <row r="368" s="30" customFormat="1" ht="28.05" customHeight="1"/>
    <row r="369" s="30" customFormat="1" ht="28.05" customHeight="1"/>
    <row r="370" s="30" customFormat="1" ht="28.05" customHeight="1"/>
    <row r="371" s="30" customFormat="1" ht="28.05" customHeight="1"/>
    <row r="372" s="30" customFormat="1" ht="28.05" customHeight="1"/>
    <row r="373" s="30" customFormat="1" ht="28.05" customHeight="1"/>
    <row r="374" s="30" customFormat="1" ht="28.05" customHeight="1"/>
    <row r="375" s="30" customFormat="1" ht="28.05" customHeight="1"/>
    <row r="376" s="30" customFormat="1" ht="28.05" customHeight="1"/>
    <row r="377" s="30" customFormat="1" ht="28.05" customHeight="1"/>
    <row r="378" s="30" customFormat="1" ht="28.05" customHeight="1"/>
    <row r="379" s="30" customFormat="1" ht="28.05" customHeight="1"/>
    <row r="380" s="30" customFormat="1" ht="28.05" customHeight="1"/>
    <row r="381" s="30" customFormat="1" ht="28.05" customHeight="1"/>
    <row r="382" s="30" customFormat="1" ht="28.05" customHeight="1"/>
    <row r="383" s="30" customFormat="1" ht="28.05" customHeight="1"/>
    <row r="384" s="30" customFormat="1" ht="28.05" customHeight="1"/>
    <row r="385" s="30" customFormat="1" ht="28.05" customHeight="1"/>
    <row r="386" s="30" customFormat="1" ht="19.95" customHeight="1"/>
    <row r="387" s="30" customFormat="1" ht="19.95" customHeight="1"/>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E647D"/>
  </sheetPr>
  <dimension ref="B2:J309"/>
  <sheetViews>
    <sheetView workbookViewId="0">
      <pane xSplit="2" ySplit="4" topLeftCell="I5" activePane="bottomRight" state="frozen"/>
      <selection pane="topRight"/>
      <selection pane="bottomLeft"/>
      <selection pane="bottomRight" activeCell="B85" sqref="B85"/>
    </sheetView>
  </sheetViews>
  <sheetFormatPr defaultRowHeight="13.8"/>
  <cols>
    <col min="1" max="1" width="2.5" customWidth="1"/>
    <col min="2" max="2" width="57" customWidth="1"/>
    <col min="3" max="5" width="8.3984375" customWidth="1"/>
    <col min="6" max="8" width="20" customWidth="1"/>
    <col min="9" max="9" width="15" customWidth="1"/>
    <col min="10" max="10" width="55" customWidth="1"/>
    <col min="11" max="11" width="3" customWidth="1"/>
    <col min="12" max="12" width="112" customWidth="1"/>
  </cols>
  <sheetData>
    <row r="2" spans="2:10" ht="25.05" customHeight="1">
      <c r="B2" s="1" t="s">
        <v>0</v>
      </c>
      <c r="C2" s="2"/>
      <c r="D2" s="2"/>
      <c r="E2" s="2"/>
      <c r="F2" s="2"/>
      <c r="G2" s="2"/>
      <c r="H2" s="2"/>
      <c r="I2" s="2"/>
      <c r="J2" s="2"/>
    </row>
    <row r="3" spans="2:10" ht="25.05" customHeight="1">
      <c r="B3" s="17" t="s">
        <v>223</v>
      </c>
      <c r="C3" s="2"/>
      <c r="D3" s="2"/>
      <c r="E3" s="2"/>
      <c r="F3" s="2"/>
      <c r="G3" s="2"/>
      <c r="H3" s="2"/>
      <c r="I3" s="2"/>
      <c r="J3" s="2"/>
    </row>
    <row r="4" spans="2:10" ht="30" customHeight="1">
      <c r="B4" s="18" t="s">
        <v>1</v>
      </c>
      <c r="C4" s="18"/>
      <c r="D4" s="18"/>
      <c r="E4" s="18"/>
      <c r="F4" s="18" t="s">
        <v>2</v>
      </c>
      <c r="G4" s="18" t="s">
        <v>3</v>
      </c>
      <c r="H4" s="18" t="s">
        <v>4</v>
      </c>
      <c r="I4" s="18" t="s">
        <v>5</v>
      </c>
      <c r="J4" s="18" t="s">
        <v>63</v>
      </c>
    </row>
    <row r="5" spans="2:10">
      <c r="B5" s="12" t="s">
        <v>224</v>
      </c>
      <c r="C5" s="12"/>
      <c r="D5" s="12"/>
      <c r="E5" s="12"/>
      <c r="F5" s="15"/>
      <c r="G5" s="15"/>
      <c r="H5" s="15"/>
      <c r="I5" s="16"/>
      <c r="J5" s="12"/>
    </row>
    <row r="6" spans="2:10" ht="55.2">
      <c r="B6" s="8" t="s">
        <v>69</v>
      </c>
      <c r="C6" s="8"/>
      <c r="D6" s="8"/>
      <c r="E6" s="8"/>
      <c r="F6" s="13">
        <v>1460153.8330000001</v>
      </c>
      <c r="G6" s="13">
        <v>1496095.1510000001</v>
      </c>
      <c r="H6" s="13">
        <f t="shared" ref="H6:H11" si="0">G6-F6</f>
        <v>35941.31799999997</v>
      </c>
      <c r="I6" s="14">
        <f t="shared" ref="I6:I11" si="1">IF(F6=0,"",H6/ABS(F6))</f>
        <v>2.4614747561327647E-2</v>
      </c>
      <c r="J6" s="8" t="s">
        <v>308</v>
      </c>
    </row>
    <row r="7" spans="2:10" ht="55.2">
      <c r="B7" s="8" t="s">
        <v>70</v>
      </c>
      <c r="C7" s="8"/>
      <c r="D7" s="8"/>
      <c r="E7" s="8"/>
      <c r="F7" s="13">
        <v>233482.13099999999</v>
      </c>
      <c r="G7" s="13">
        <v>226081.31099999999</v>
      </c>
      <c r="H7" s="13">
        <f t="shared" si="0"/>
        <v>-7400.820000000007</v>
      </c>
      <c r="I7" s="14">
        <f t="shared" si="1"/>
        <v>-3.1697586313361205E-2</v>
      </c>
      <c r="J7" s="8" t="s">
        <v>309</v>
      </c>
    </row>
    <row r="8" spans="2:10" ht="55.2">
      <c r="B8" s="8" t="s">
        <v>71</v>
      </c>
      <c r="C8" s="8"/>
      <c r="D8" s="8"/>
      <c r="E8" s="8"/>
      <c r="F8" s="13">
        <v>45877.085999999981</v>
      </c>
      <c r="G8" s="13">
        <v>43082.722999999991</v>
      </c>
      <c r="H8" s="13">
        <f t="shared" si="0"/>
        <v>-2794.3629999999903</v>
      </c>
      <c r="I8" s="14">
        <f t="shared" si="1"/>
        <v>-6.090977530700166E-2</v>
      </c>
      <c r="J8" s="8" t="s">
        <v>310</v>
      </c>
    </row>
    <row r="9" spans="2:10" ht="55.2">
      <c r="B9" s="8" t="s">
        <v>72</v>
      </c>
      <c r="C9" s="8"/>
      <c r="D9" s="8"/>
      <c r="E9" s="8"/>
      <c r="F9" s="13">
        <v>83870.664000000004</v>
      </c>
      <c r="G9" s="13">
        <v>78766.513999999996</v>
      </c>
      <c r="H9" s="13">
        <f t="shared" si="0"/>
        <v>-5104.1500000000087</v>
      </c>
      <c r="I9" s="14">
        <f t="shared" si="1"/>
        <v>-6.0857393474314313E-2</v>
      </c>
      <c r="J9" s="8" t="s">
        <v>311</v>
      </c>
    </row>
    <row r="10" spans="2:10" ht="55.2">
      <c r="B10" s="8" t="s">
        <v>73</v>
      </c>
      <c r="C10" s="8"/>
      <c r="D10" s="8"/>
      <c r="E10" s="8"/>
      <c r="F10" s="13">
        <v>202715.31400000001</v>
      </c>
      <c r="G10" s="13">
        <v>223870.535</v>
      </c>
      <c r="H10" s="13">
        <f t="shared" si="0"/>
        <v>21155.22099999999</v>
      </c>
      <c r="I10" s="14">
        <f t="shared" si="1"/>
        <v>0.10435926414518436</v>
      </c>
      <c r="J10" s="8" t="s">
        <v>312</v>
      </c>
    </row>
    <row r="11" spans="2:10" ht="55.2">
      <c r="B11" s="12" t="s">
        <v>225</v>
      </c>
      <c r="C11" s="12"/>
      <c r="D11" s="12"/>
      <c r="E11" s="12"/>
      <c r="F11" s="15">
        <f>SUM('Schedule of Expenses'!F6,'Schedule of Expenses'!F7,'Schedule of Expenses'!F8,'Schedule of Expenses'!F9,'Schedule of Expenses'!F10)</f>
        <v>2026099.0280000002</v>
      </c>
      <c r="G11" s="15">
        <f>SUM('Schedule of Expenses'!G6,'Schedule of Expenses'!G7,'Schedule of Expenses'!G8,'Schedule of Expenses'!G9,'Schedule of Expenses'!G10)</f>
        <v>2067896.2339999999</v>
      </c>
      <c r="H11" s="15">
        <f t="shared" si="0"/>
        <v>41797.205999999773</v>
      </c>
      <c r="I11" s="16">
        <f t="shared" si="1"/>
        <v>2.0629399364185355E-2</v>
      </c>
      <c r="J11" s="8" t="s">
        <v>383</v>
      </c>
    </row>
    <row r="12" spans="2:10">
      <c r="B12" s="8"/>
      <c r="C12" s="8"/>
      <c r="D12" s="8"/>
      <c r="E12" s="8"/>
      <c r="F12" s="13"/>
      <c r="G12" s="13"/>
      <c r="H12" s="13"/>
      <c r="I12" s="14"/>
      <c r="J12" s="8"/>
    </row>
    <row r="13" spans="2:10">
      <c r="B13" s="12" t="s">
        <v>226</v>
      </c>
      <c r="C13" s="12"/>
      <c r="D13" s="12"/>
      <c r="E13" s="12"/>
      <c r="F13" s="15"/>
      <c r="G13" s="15"/>
      <c r="H13" s="15"/>
      <c r="I13" s="16"/>
      <c r="J13" s="12"/>
    </row>
    <row r="14" spans="2:10" ht="82.8">
      <c r="B14" s="8" t="s">
        <v>79</v>
      </c>
      <c r="C14" s="8"/>
      <c r="D14" s="8"/>
      <c r="E14" s="8"/>
      <c r="F14" s="13">
        <v>55650.826000000001</v>
      </c>
      <c r="G14" s="13">
        <v>81846.881999999998</v>
      </c>
      <c r="H14" s="13">
        <f>G14-F14</f>
        <v>26196.055999999997</v>
      </c>
      <c r="I14" s="14">
        <f>IF(F14=0,"",H14/ABS(F14))</f>
        <v>0.47072178227866729</v>
      </c>
      <c r="J14" s="8" t="s">
        <v>318</v>
      </c>
    </row>
    <row r="15" spans="2:10" ht="55.2">
      <c r="B15" s="8" t="s">
        <v>80</v>
      </c>
      <c r="C15" s="8"/>
      <c r="D15" s="8"/>
      <c r="E15" s="8"/>
      <c r="F15" s="13">
        <v>59531.207000000002</v>
      </c>
      <c r="G15" s="13">
        <v>72400.101999999999</v>
      </c>
      <c r="H15" s="13">
        <f>G15-F15</f>
        <v>12868.894999999997</v>
      </c>
      <c r="I15" s="14">
        <f>IF(F15=0,"",H15/ABS(F15))</f>
        <v>0.21617057084026528</v>
      </c>
      <c r="J15" s="8" t="s">
        <v>319</v>
      </c>
    </row>
    <row r="16" spans="2:10" ht="69">
      <c r="B16" s="12" t="s">
        <v>227</v>
      </c>
      <c r="C16" s="12"/>
      <c r="D16" s="12"/>
      <c r="E16" s="12"/>
      <c r="F16" s="15">
        <f>SUM('Schedule of Expenses'!F14,'Schedule of Expenses'!F15)</f>
        <v>115182.033</v>
      </c>
      <c r="G16" s="15">
        <f>SUM('Schedule of Expenses'!G14,'Schedule of Expenses'!G15)</f>
        <v>154246.984</v>
      </c>
      <c r="H16" s="15">
        <f>G16-F16</f>
        <v>39064.951000000001</v>
      </c>
      <c r="I16" s="16">
        <f>IF(F16=0,"",H16/ABS(F16))</f>
        <v>0.33915837377171493</v>
      </c>
      <c r="J16" s="8" t="s">
        <v>384</v>
      </c>
    </row>
    <row r="17" spans="2:10">
      <c r="B17" s="8"/>
      <c r="C17" s="8"/>
      <c r="D17" s="8"/>
      <c r="E17" s="8"/>
      <c r="F17" s="13"/>
      <c r="G17" s="13"/>
      <c r="H17" s="13"/>
      <c r="I17" s="14"/>
      <c r="J17" s="8"/>
    </row>
    <row r="18" spans="2:10">
      <c r="B18" s="12" t="s">
        <v>228</v>
      </c>
      <c r="C18" s="12"/>
      <c r="D18" s="12"/>
      <c r="E18" s="12"/>
      <c r="F18" s="15"/>
      <c r="G18" s="15"/>
      <c r="H18" s="15"/>
      <c r="I18" s="16"/>
      <c r="J18" s="12"/>
    </row>
    <row r="19" spans="2:10">
      <c r="B19" s="12" t="s">
        <v>82</v>
      </c>
      <c r="C19" s="12"/>
      <c r="D19" s="12"/>
      <c r="E19" s="12"/>
      <c r="F19" s="15"/>
      <c r="G19" s="15"/>
      <c r="H19" s="15"/>
      <c r="I19" s="16"/>
      <c r="J19" s="12"/>
    </row>
    <row r="20" spans="2:10" ht="69">
      <c r="B20" s="8" t="s">
        <v>83</v>
      </c>
      <c r="C20" s="8"/>
      <c r="D20" s="8"/>
      <c r="E20" s="8"/>
      <c r="F20" s="13">
        <f>SUM('Schedule of Expenses'!F21,'Schedule of Expenses'!F22)</f>
        <v>745940.99949999992</v>
      </c>
      <c r="G20" s="13">
        <f>SUM('Schedule of Expenses'!G21,'Schedule of Expenses'!G22)</f>
        <v>798708.53564999998</v>
      </c>
      <c r="H20" s="13">
        <f t="shared" ref="H20:H30" si="2">G20-F20</f>
        <v>52767.536150000058</v>
      </c>
      <c r="I20" s="14">
        <f t="shared" ref="I20:I30" si="3">IF(F20=0,"",H20/ABS(F20))</f>
        <v>7.0739557398466962E-2</v>
      </c>
      <c r="J20" s="8" t="s">
        <v>321</v>
      </c>
    </row>
    <row r="21" spans="2:10" ht="55.2">
      <c r="B21" s="8" t="s">
        <v>84</v>
      </c>
      <c r="C21" s="8"/>
      <c r="D21" s="8"/>
      <c r="E21" s="8"/>
      <c r="F21" s="13">
        <v>715425.49749999994</v>
      </c>
      <c r="G21" s="13">
        <v>761447.57864999992</v>
      </c>
      <c r="H21" s="13">
        <f t="shared" si="2"/>
        <v>46022.081149999984</v>
      </c>
      <c r="I21" s="14">
        <f t="shared" si="3"/>
        <v>6.4328265222333633E-2</v>
      </c>
      <c r="J21" s="8" t="s">
        <v>322</v>
      </c>
    </row>
    <row r="22" spans="2:10" ht="69">
      <c r="B22" s="8" t="s">
        <v>85</v>
      </c>
      <c r="C22" s="8"/>
      <c r="D22" s="8"/>
      <c r="E22" s="8"/>
      <c r="F22" s="13">
        <v>30515.502</v>
      </c>
      <c r="G22" s="13">
        <v>37260.957000000002</v>
      </c>
      <c r="H22" s="13">
        <f t="shared" si="2"/>
        <v>6745.4550000000017</v>
      </c>
      <c r="I22" s="14">
        <f t="shared" si="3"/>
        <v>0.22105010758138607</v>
      </c>
      <c r="J22" s="8" t="s">
        <v>323</v>
      </c>
    </row>
    <row r="23" spans="2:10" ht="55.2">
      <c r="B23" s="8" t="s">
        <v>86</v>
      </c>
      <c r="C23" s="8"/>
      <c r="D23" s="8"/>
      <c r="E23" s="8"/>
      <c r="F23" s="13">
        <v>9231.594000000001</v>
      </c>
      <c r="G23" s="13">
        <v>9970.8140000000003</v>
      </c>
      <c r="H23" s="13">
        <f t="shared" si="2"/>
        <v>739.21999999999935</v>
      </c>
      <c r="I23" s="14">
        <f t="shared" si="3"/>
        <v>8.0075011964347576E-2</v>
      </c>
      <c r="J23" s="8" t="s">
        <v>324</v>
      </c>
    </row>
    <row r="24" spans="2:10" ht="55.2">
      <c r="B24" s="8" t="s">
        <v>87</v>
      </c>
      <c r="C24" s="8"/>
      <c r="D24" s="8"/>
      <c r="E24" s="8"/>
      <c r="F24" s="13">
        <v>4975.7079999999996</v>
      </c>
      <c r="G24" s="13">
        <v>5053.6899999999996</v>
      </c>
      <c r="H24" s="13">
        <f t="shared" si="2"/>
        <v>77.981999999999971</v>
      </c>
      <c r="I24" s="14">
        <f t="shared" si="3"/>
        <v>1.5672543485268826E-2</v>
      </c>
      <c r="J24" s="8" t="s">
        <v>325</v>
      </c>
    </row>
    <row r="25" spans="2:10" ht="55.2">
      <c r="B25" s="8" t="s">
        <v>88</v>
      </c>
      <c r="C25" s="8"/>
      <c r="D25" s="8"/>
      <c r="E25" s="8"/>
      <c r="F25" s="13">
        <v>42533.02</v>
      </c>
      <c r="G25" s="13">
        <v>45581.237999999998</v>
      </c>
      <c r="H25" s="13">
        <f t="shared" si="2"/>
        <v>3048.2180000000008</v>
      </c>
      <c r="I25" s="14">
        <f t="shared" si="3"/>
        <v>7.1667095353210308E-2</v>
      </c>
      <c r="J25" s="8" t="s">
        <v>326</v>
      </c>
    </row>
    <row r="26" spans="2:10" ht="69">
      <c r="B26" s="8" t="s">
        <v>89</v>
      </c>
      <c r="C26" s="8"/>
      <c r="D26" s="8"/>
      <c r="E26" s="8"/>
      <c r="F26" s="13">
        <v>940.01599999999996</v>
      </c>
      <c r="G26" s="13">
        <v>4685.8980000000001</v>
      </c>
      <c r="H26" s="13">
        <f t="shared" si="2"/>
        <v>3745.8820000000001</v>
      </c>
      <c r="I26" s="14">
        <f t="shared" si="3"/>
        <v>3.9849130227570595</v>
      </c>
      <c r="J26" s="8" t="s">
        <v>327</v>
      </c>
    </row>
    <row r="27" spans="2:10" ht="69">
      <c r="B27" s="8" t="s">
        <v>90</v>
      </c>
      <c r="C27" s="8"/>
      <c r="D27" s="8"/>
      <c r="E27" s="8"/>
      <c r="F27" s="13">
        <v>-19101.286</v>
      </c>
      <c r="G27" s="13">
        <v>480.03399999999999</v>
      </c>
      <c r="H27" s="13">
        <f t="shared" si="2"/>
        <v>19581.32</v>
      </c>
      <c r="I27" s="14">
        <f t="shared" si="3"/>
        <v>1.0251309780922604</v>
      </c>
      <c r="J27" s="8" t="s">
        <v>385</v>
      </c>
    </row>
    <row r="28" spans="2:10" ht="55.2">
      <c r="B28" s="8" t="s">
        <v>91</v>
      </c>
      <c r="C28" s="8"/>
      <c r="D28" s="8"/>
      <c r="E28" s="8"/>
      <c r="F28" s="13">
        <v>4340.5200000000004</v>
      </c>
      <c r="G28" s="13">
        <v>5249.3090000000002</v>
      </c>
      <c r="H28" s="13">
        <f t="shared" si="2"/>
        <v>908.78899999999976</v>
      </c>
      <c r="I28" s="14">
        <f t="shared" si="3"/>
        <v>0.20937330089482359</v>
      </c>
      <c r="J28" s="8" t="s">
        <v>329</v>
      </c>
    </row>
    <row r="29" spans="2:10" ht="69">
      <c r="B29" s="8" t="s">
        <v>92</v>
      </c>
      <c r="C29" s="8"/>
      <c r="D29" s="8"/>
      <c r="E29" s="8"/>
      <c r="F29" s="13">
        <v>0</v>
      </c>
      <c r="G29" s="13">
        <v>10022.322</v>
      </c>
      <c r="H29" s="13">
        <f t="shared" si="2"/>
        <v>10022.322</v>
      </c>
      <c r="I29" s="14" t="str">
        <f t="shared" si="3"/>
        <v/>
      </c>
      <c r="J29" s="8" t="s">
        <v>330</v>
      </c>
    </row>
    <row r="30" spans="2:10" ht="69">
      <c r="B30" s="12" t="s">
        <v>93</v>
      </c>
      <c r="C30" s="12"/>
      <c r="D30" s="12"/>
      <c r="E30" s="12"/>
      <c r="F30" s="15">
        <f>SUM('Schedule of Expenses'!F20,'Schedule of Expenses'!F23,'Schedule of Expenses'!F24,'Schedule of Expenses'!F25,'Schedule of Expenses'!F26,'Schedule of Expenses'!F27,'Schedule of Expenses'!F28,'Schedule of Expenses'!F29)</f>
        <v>788860.57149999996</v>
      </c>
      <c r="G30" s="15">
        <f>SUM('Schedule of Expenses'!G20,'Schedule of Expenses'!G23,'Schedule of Expenses'!G24,'Schedule of Expenses'!G25,'Schedule of Expenses'!G26,'Schedule of Expenses'!G27,'Schedule of Expenses'!G28,'Schedule of Expenses'!G29)</f>
        <v>879751.84065000003</v>
      </c>
      <c r="H30" s="15">
        <f t="shared" si="2"/>
        <v>90891.269150000066</v>
      </c>
      <c r="I30" s="16">
        <f t="shared" si="3"/>
        <v>0.11521842063569288</v>
      </c>
      <c r="J30" s="8" t="s">
        <v>331</v>
      </c>
    </row>
    <row r="31" spans="2:10">
      <c r="B31" s="8"/>
      <c r="C31" s="8"/>
      <c r="D31" s="8"/>
      <c r="E31" s="8"/>
      <c r="F31" s="13"/>
      <c r="G31" s="13"/>
      <c r="H31" s="13"/>
      <c r="I31" s="14"/>
      <c r="J31" s="8"/>
    </row>
    <row r="32" spans="2:10">
      <c r="B32" s="12" t="s">
        <v>94</v>
      </c>
      <c r="C32" s="12"/>
      <c r="D32" s="12"/>
      <c r="E32" s="12"/>
      <c r="F32" s="15"/>
      <c r="G32" s="15"/>
      <c r="H32" s="15"/>
      <c r="I32" s="16"/>
      <c r="J32" s="12"/>
    </row>
    <row r="33" spans="2:10" ht="55.2">
      <c r="B33" s="8" t="s">
        <v>95</v>
      </c>
      <c r="C33" s="8"/>
      <c r="D33" s="8"/>
      <c r="E33" s="8"/>
      <c r="F33" s="13">
        <v>47212.820500000002</v>
      </c>
      <c r="G33" s="13">
        <v>61535.099350000004</v>
      </c>
      <c r="H33" s="13">
        <f>G33-F33</f>
        <v>14322.278850000002</v>
      </c>
      <c r="I33" s="14">
        <f>IF(F33=0,"",H33/ABS(F33))</f>
        <v>0.30335571351853469</v>
      </c>
      <c r="J33" s="8" t="s">
        <v>332</v>
      </c>
    </row>
    <row r="34" spans="2:10" ht="55.2">
      <c r="B34" s="8" t="s">
        <v>96</v>
      </c>
      <c r="C34" s="8"/>
      <c r="D34" s="8"/>
      <c r="E34" s="8"/>
      <c r="F34" s="13">
        <v>4080</v>
      </c>
      <c r="G34" s="13">
        <v>7055.7</v>
      </c>
      <c r="H34" s="13">
        <f>G34-F34</f>
        <v>2975.7</v>
      </c>
      <c r="I34" s="14">
        <f>IF(F34=0,"",H34/ABS(F34))</f>
        <v>0.72933823529411757</v>
      </c>
      <c r="J34" s="8" t="s">
        <v>333</v>
      </c>
    </row>
    <row r="35" spans="2:10" ht="69">
      <c r="B35" s="8" t="s">
        <v>97</v>
      </c>
      <c r="C35" s="8"/>
      <c r="D35" s="8"/>
      <c r="E35" s="8"/>
      <c r="F35" s="13">
        <v>31278.777999999998</v>
      </c>
      <c r="G35" s="13">
        <v>56211.184000000001</v>
      </c>
      <c r="H35" s="13">
        <f>G35-F35</f>
        <v>24932.406000000003</v>
      </c>
      <c r="I35" s="14">
        <f>IF(F35=0,"",H35/ABS(F35))</f>
        <v>0.79710294308812202</v>
      </c>
      <c r="J35" s="8" t="s">
        <v>334</v>
      </c>
    </row>
    <row r="36" spans="2:10">
      <c r="B36" s="12" t="s">
        <v>98</v>
      </c>
      <c r="C36" s="12"/>
      <c r="D36" s="12"/>
      <c r="E36" s="12"/>
      <c r="F36" s="15"/>
      <c r="G36" s="15"/>
      <c r="H36" s="15"/>
      <c r="I36" s="16"/>
      <c r="J36" s="12"/>
    </row>
    <row r="37" spans="2:10" ht="55.2">
      <c r="B37" s="8" t="s">
        <v>99</v>
      </c>
      <c r="C37" s="8"/>
      <c r="D37" s="8"/>
      <c r="E37" s="8"/>
      <c r="F37" s="13">
        <v>3328.7550000000001</v>
      </c>
      <c r="G37" s="13">
        <v>4105.9139999999998</v>
      </c>
      <c r="H37" s="13">
        <f t="shared" ref="H37:H53" si="4">G37-F37</f>
        <v>777.15899999999965</v>
      </c>
      <c r="I37" s="14">
        <f t="shared" ref="I37:I53" si="5">IF(F37=0,"",H37/ABS(F37))</f>
        <v>0.23346836880455293</v>
      </c>
      <c r="J37" s="8" t="s">
        <v>335</v>
      </c>
    </row>
    <row r="38" spans="2:10" ht="55.2">
      <c r="B38" s="8" t="s">
        <v>100</v>
      </c>
      <c r="C38" s="8"/>
      <c r="D38" s="8"/>
      <c r="E38" s="8"/>
      <c r="F38" s="13">
        <v>15203.121999999999</v>
      </c>
      <c r="G38" s="13">
        <v>15463.742000000002</v>
      </c>
      <c r="H38" s="13">
        <f t="shared" si="4"/>
        <v>260.62000000000262</v>
      </c>
      <c r="I38" s="14">
        <f t="shared" si="5"/>
        <v>1.7142531645802924E-2</v>
      </c>
      <c r="J38" s="8" t="s">
        <v>336</v>
      </c>
    </row>
    <row r="39" spans="2:10" ht="55.2">
      <c r="B39" s="8" t="s">
        <v>101</v>
      </c>
      <c r="C39" s="8"/>
      <c r="D39" s="8"/>
      <c r="E39" s="8"/>
      <c r="F39" s="13">
        <v>17635.862000000001</v>
      </c>
      <c r="G39" s="13">
        <v>16174.117</v>
      </c>
      <c r="H39" s="13">
        <f t="shared" si="4"/>
        <v>-1461.7450000000008</v>
      </c>
      <c r="I39" s="14">
        <f t="shared" si="5"/>
        <v>-8.2884805970924513E-2</v>
      </c>
      <c r="J39" s="8" t="s">
        <v>337</v>
      </c>
    </row>
    <row r="40" spans="2:10" ht="69">
      <c r="B40" s="8" t="s">
        <v>102</v>
      </c>
      <c r="C40" s="8"/>
      <c r="D40" s="8"/>
      <c r="E40" s="8"/>
      <c r="F40" s="13">
        <v>1375.3489999999999</v>
      </c>
      <c r="G40" s="13">
        <v>5004.3999999999996</v>
      </c>
      <c r="H40" s="13">
        <f t="shared" si="4"/>
        <v>3629.0509999999995</v>
      </c>
      <c r="I40" s="14">
        <f t="shared" si="5"/>
        <v>2.6386400833533887</v>
      </c>
      <c r="J40" s="8" t="s">
        <v>338</v>
      </c>
    </row>
    <row r="41" spans="2:10" ht="69">
      <c r="B41" s="8" t="s">
        <v>103</v>
      </c>
      <c r="C41" s="8"/>
      <c r="D41" s="8"/>
      <c r="E41" s="8"/>
      <c r="F41" s="13">
        <v>22056.853000000003</v>
      </c>
      <c r="G41" s="13">
        <v>19606.944</v>
      </c>
      <c r="H41" s="13">
        <f t="shared" si="4"/>
        <v>-2449.9090000000033</v>
      </c>
      <c r="I41" s="14">
        <f t="shared" si="5"/>
        <v>-0.11107246351054717</v>
      </c>
      <c r="J41" s="8" t="s">
        <v>339</v>
      </c>
    </row>
    <row r="42" spans="2:10" ht="55.2">
      <c r="B42" s="8" t="s">
        <v>104</v>
      </c>
      <c r="C42" s="8"/>
      <c r="D42" s="8"/>
      <c r="E42" s="8"/>
      <c r="F42" s="13">
        <v>30178.225999999999</v>
      </c>
      <c r="G42" s="13">
        <v>46434.915999999997</v>
      </c>
      <c r="H42" s="13">
        <f t="shared" si="4"/>
        <v>16256.689999999999</v>
      </c>
      <c r="I42" s="14">
        <f t="shared" si="5"/>
        <v>0.53868938485648554</v>
      </c>
      <c r="J42" s="8" t="s">
        <v>340</v>
      </c>
    </row>
    <row r="43" spans="2:10" ht="69">
      <c r="B43" s="8" t="s">
        <v>105</v>
      </c>
      <c r="C43" s="8"/>
      <c r="D43" s="8"/>
      <c r="E43" s="8"/>
      <c r="F43" s="13">
        <v>-737.971</v>
      </c>
      <c r="G43" s="13">
        <v>0</v>
      </c>
      <c r="H43" s="13">
        <f t="shared" si="4"/>
        <v>737.971</v>
      </c>
      <c r="I43" s="14">
        <f t="shared" si="5"/>
        <v>1</v>
      </c>
      <c r="J43" s="8" t="s">
        <v>341</v>
      </c>
    </row>
    <row r="44" spans="2:10" ht="55.2">
      <c r="B44" s="8" t="s">
        <v>106</v>
      </c>
      <c r="C44" s="8"/>
      <c r="D44" s="8"/>
      <c r="E44" s="8"/>
      <c r="F44" s="13">
        <v>11.941000000000001</v>
      </c>
      <c r="G44" s="13">
        <v>34.481000000000002</v>
      </c>
      <c r="H44" s="13">
        <f t="shared" si="4"/>
        <v>22.54</v>
      </c>
      <c r="I44" s="14">
        <f t="shared" si="5"/>
        <v>1.8876141026714679</v>
      </c>
      <c r="J44" s="8" t="s">
        <v>342</v>
      </c>
    </row>
    <row r="45" spans="2:10" ht="69">
      <c r="B45" s="8" t="s">
        <v>107</v>
      </c>
      <c r="C45" s="8"/>
      <c r="D45" s="8"/>
      <c r="E45" s="8"/>
      <c r="F45" s="13">
        <v>-804.75800000000004</v>
      </c>
      <c r="G45" s="13">
        <v>256.53500000000003</v>
      </c>
      <c r="H45" s="13">
        <f t="shared" si="4"/>
        <v>1061.2930000000001</v>
      </c>
      <c r="I45" s="14">
        <f t="shared" si="5"/>
        <v>1.3187728484836436</v>
      </c>
      <c r="J45" s="8" t="s">
        <v>386</v>
      </c>
    </row>
    <row r="46" spans="2:10" ht="69">
      <c r="B46" s="8" t="s">
        <v>108</v>
      </c>
      <c r="C46" s="8"/>
      <c r="D46" s="8"/>
      <c r="E46" s="8"/>
      <c r="F46" s="13">
        <v>-1947.2750000000001</v>
      </c>
      <c r="G46" s="13">
        <v>3617.7779999999998</v>
      </c>
      <c r="H46" s="13">
        <f t="shared" si="4"/>
        <v>5565.0529999999999</v>
      </c>
      <c r="I46" s="14">
        <f t="shared" si="5"/>
        <v>2.8578670192961959</v>
      </c>
      <c r="J46" s="8" t="s">
        <v>387</v>
      </c>
    </row>
    <row r="47" spans="2:10" ht="69">
      <c r="B47" s="8" t="s">
        <v>109</v>
      </c>
      <c r="C47" s="8"/>
      <c r="D47" s="8"/>
      <c r="E47" s="8"/>
      <c r="F47" s="13">
        <v>43925.823000000004</v>
      </c>
      <c r="G47" s="13">
        <v>44938.633999999998</v>
      </c>
      <c r="H47" s="13">
        <f t="shared" si="4"/>
        <v>1012.8109999999942</v>
      </c>
      <c r="I47" s="14">
        <f t="shared" si="5"/>
        <v>2.3057302762431887E-2</v>
      </c>
      <c r="J47" s="8" t="s">
        <v>345</v>
      </c>
    </row>
    <row r="48" spans="2:10" ht="55.2">
      <c r="B48" s="8" t="s">
        <v>110</v>
      </c>
      <c r="C48" s="8"/>
      <c r="D48" s="8"/>
      <c r="E48" s="8"/>
      <c r="F48" s="13">
        <v>681.68899999999996</v>
      </c>
      <c r="G48" s="13">
        <v>0</v>
      </c>
      <c r="H48" s="13">
        <f t="shared" si="4"/>
        <v>-681.68899999999996</v>
      </c>
      <c r="I48" s="14">
        <f t="shared" si="5"/>
        <v>-1</v>
      </c>
      <c r="J48" s="8" t="s">
        <v>346</v>
      </c>
    </row>
    <row r="49" spans="2:10" ht="69">
      <c r="B49" s="8" t="s">
        <v>111</v>
      </c>
      <c r="C49" s="8"/>
      <c r="D49" s="8"/>
      <c r="E49" s="8"/>
      <c r="F49" s="13">
        <v>1107.7330000000002</v>
      </c>
      <c r="G49" s="13">
        <v>1768.0920000000001</v>
      </c>
      <c r="H49" s="13">
        <f t="shared" si="4"/>
        <v>660.35899999999992</v>
      </c>
      <c r="I49" s="14">
        <f t="shared" si="5"/>
        <v>0.5961355308544567</v>
      </c>
      <c r="J49" s="8" t="s">
        <v>347</v>
      </c>
    </row>
    <row r="50" spans="2:10" ht="69">
      <c r="B50" s="8" t="s">
        <v>112</v>
      </c>
      <c r="C50" s="8"/>
      <c r="D50" s="8"/>
      <c r="E50" s="8"/>
      <c r="F50" s="13">
        <v>-1318.855</v>
      </c>
      <c r="G50" s="13">
        <v>-5490.3559999999998</v>
      </c>
      <c r="H50" s="13">
        <f t="shared" si="4"/>
        <v>-4171.5010000000002</v>
      </c>
      <c r="I50" s="14">
        <f t="shared" si="5"/>
        <v>-3.1629716686064806</v>
      </c>
      <c r="J50" s="8" t="s">
        <v>348</v>
      </c>
    </row>
    <row r="51" spans="2:10" ht="69">
      <c r="B51" s="8" t="s">
        <v>113</v>
      </c>
      <c r="C51" s="8"/>
      <c r="D51" s="8"/>
      <c r="E51" s="8"/>
      <c r="F51" s="13">
        <v>-1864.9075999999791</v>
      </c>
      <c r="G51" s="13">
        <v>830.67246999999531</v>
      </c>
      <c r="H51" s="13">
        <f t="shared" si="4"/>
        <v>2695.5800699999745</v>
      </c>
      <c r="I51" s="14">
        <f t="shared" si="5"/>
        <v>1.4454228563388367</v>
      </c>
      <c r="J51" s="8" t="s">
        <v>388</v>
      </c>
    </row>
    <row r="52" spans="2:10" ht="69">
      <c r="B52" s="12" t="s">
        <v>114</v>
      </c>
      <c r="C52" s="12"/>
      <c r="D52" s="12"/>
      <c r="E52" s="12"/>
      <c r="F52" s="15">
        <f>SUM('Schedule of Expenses'!F33,'Schedule of Expenses'!F34,'Schedule of Expenses'!F35,'Schedule of Expenses'!F38,'Schedule of Expenses'!F39,'Schedule of Expenses'!F40,'Schedule of Expenses'!F41,'Schedule of Expenses'!F42,'Schedule of Expenses'!F43,'Schedule of Expenses'!F44,'Schedule of Expenses'!F45,'Schedule of Expenses'!F46,'Schedule of Expenses'!F47,'Schedule of Expenses'!F48,'Schedule of Expenses'!F49,'Schedule of Expenses'!F50,'Schedule of Expenses'!F51,'Schedule of Expenses'!F37)</f>
        <v>211403.18490000005</v>
      </c>
      <c r="G52" s="15">
        <f>SUM('Schedule of Expenses'!G33,'Schedule of Expenses'!G34,'Schedule of Expenses'!G35,'Schedule of Expenses'!G38,'Schedule of Expenses'!G39,'Schedule of Expenses'!G40,'Schedule of Expenses'!G41,'Schedule of Expenses'!G42,'Schedule of Expenses'!G43,'Schedule of Expenses'!G44,'Schedule of Expenses'!G45,'Schedule of Expenses'!G46,'Schedule of Expenses'!G47,'Schedule of Expenses'!G48,'Schedule of Expenses'!G49,'Schedule of Expenses'!G50,'Schedule of Expenses'!G51,'Schedule of Expenses'!G37)</f>
        <v>277547.85281999991</v>
      </c>
      <c r="H52" s="15">
        <f t="shared" si="4"/>
        <v>66144.667919999862</v>
      </c>
      <c r="I52" s="16">
        <f t="shared" si="5"/>
        <v>0.31288397074664814</v>
      </c>
      <c r="J52" s="8" t="s">
        <v>350</v>
      </c>
    </row>
    <row r="53" spans="2:10" ht="69">
      <c r="B53" s="12" t="s">
        <v>229</v>
      </c>
      <c r="C53" s="12"/>
      <c r="D53" s="12"/>
      <c r="E53" s="12"/>
      <c r="F53" s="15">
        <f>SUM('Schedule of Expenses'!F30,'Schedule of Expenses'!F52)</f>
        <v>1000263.7564000001</v>
      </c>
      <c r="G53" s="15">
        <f>SUM('Schedule of Expenses'!G30,'Schedule of Expenses'!G52)</f>
        <v>1157299.6934699998</v>
      </c>
      <c r="H53" s="15">
        <f t="shared" si="4"/>
        <v>157035.93706999975</v>
      </c>
      <c r="I53" s="16">
        <f t="shared" si="5"/>
        <v>0.15699452875827477</v>
      </c>
      <c r="J53" s="8" t="s">
        <v>389</v>
      </c>
    </row>
    <row r="54" spans="2:10">
      <c r="B54" s="8"/>
      <c r="C54" s="8"/>
      <c r="D54" s="8"/>
      <c r="E54" s="8"/>
      <c r="F54" s="13"/>
      <c r="G54" s="13"/>
      <c r="H54" s="13"/>
      <c r="I54" s="14"/>
      <c r="J54" s="8"/>
    </row>
    <row r="55" spans="2:10">
      <c r="B55" s="12" t="s">
        <v>230</v>
      </c>
      <c r="C55" s="12"/>
      <c r="D55" s="12"/>
      <c r="E55" s="12"/>
      <c r="F55" s="15"/>
      <c r="G55" s="15"/>
      <c r="H55" s="15"/>
      <c r="I55" s="16"/>
      <c r="J55" s="12"/>
    </row>
    <row r="56" spans="2:10" ht="55.2">
      <c r="B56" s="8" t="s">
        <v>116</v>
      </c>
      <c r="C56" s="8"/>
      <c r="D56" s="8"/>
      <c r="E56" s="8"/>
      <c r="F56" s="13">
        <v>151640.19698481981</v>
      </c>
      <c r="G56" s="13">
        <v>162816.41400000002</v>
      </c>
      <c r="H56" s="13">
        <f t="shared" ref="H56:H70" si="6">G56-F56</f>
        <v>11176.217015180213</v>
      </c>
      <c r="I56" s="14">
        <f t="shared" ref="I56:I70" si="7">IF(F56=0,"",H56/ABS(F56))</f>
        <v>7.3702205862334946E-2</v>
      </c>
      <c r="J56" s="8" t="s">
        <v>352</v>
      </c>
    </row>
    <row r="57" spans="2:10" ht="55.2">
      <c r="B57" s="8" t="s">
        <v>117</v>
      </c>
      <c r="C57" s="8"/>
      <c r="D57" s="8"/>
      <c r="E57" s="8"/>
      <c r="F57" s="13">
        <v>-33153.247984819798</v>
      </c>
      <c r="G57" s="13">
        <v>-29575.948</v>
      </c>
      <c r="H57" s="13">
        <f t="shared" si="6"/>
        <v>3577.2999848197978</v>
      </c>
      <c r="I57" s="14">
        <f t="shared" si="7"/>
        <v>0.10790194633291347</v>
      </c>
      <c r="J57" s="8" t="s">
        <v>353</v>
      </c>
    </row>
    <row r="58" spans="2:10" ht="55.2">
      <c r="B58" s="8" t="s">
        <v>118</v>
      </c>
      <c r="C58" s="8"/>
      <c r="D58" s="8"/>
      <c r="E58" s="8"/>
      <c r="F58" s="13">
        <v>75611.803</v>
      </c>
      <c r="G58" s="13">
        <v>90080.998999999996</v>
      </c>
      <c r="H58" s="13">
        <f t="shared" si="6"/>
        <v>14469.195999999996</v>
      </c>
      <c r="I58" s="14">
        <f t="shared" si="7"/>
        <v>0.19136160527741941</v>
      </c>
      <c r="J58" s="8" t="s">
        <v>354</v>
      </c>
    </row>
    <row r="59" spans="2:10" ht="55.2">
      <c r="B59" s="8" t="s">
        <v>119</v>
      </c>
      <c r="C59" s="8"/>
      <c r="D59" s="8"/>
      <c r="E59" s="8"/>
      <c r="F59" s="13">
        <v>20231.739000000001</v>
      </c>
      <c r="G59" s="13">
        <v>19863.963</v>
      </c>
      <c r="H59" s="13">
        <f t="shared" si="6"/>
        <v>-367.77600000000166</v>
      </c>
      <c r="I59" s="14">
        <f t="shared" si="7"/>
        <v>-1.8178170447928459E-2</v>
      </c>
      <c r="J59" s="8" t="s">
        <v>355</v>
      </c>
    </row>
    <row r="60" spans="2:10" ht="55.2">
      <c r="B60" s="8" t="s">
        <v>70</v>
      </c>
      <c r="C60" s="8"/>
      <c r="D60" s="8"/>
      <c r="E60" s="8"/>
      <c r="F60" s="13">
        <v>0</v>
      </c>
      <c r="G60" s="13">
        <v>0</v>
      </c>
      <c r="H60" s="13">
        <f t="shared" si="6"/>
        <v>0</v>
      </c>
      <c r="I60" s="14" t="str">
        <f t="shared" si="7"/>
        <v/>
      </c>
      <c r="J60" s="8" t="s">
        <v>356</v>
      </c>
    </row>
    <row r="61" spans="2:10" ht="55.2">
      <c r="B61" s="8" t="s">
        <v>120</v>
      </c>
      <c r="C61" s="8"/>
      <c r="D61" s="8"/>
      <c r="E61" s="8"/>
      <c r="F61" s="13">
        <v>26136.311000000002</v>
      </c>
      <c r="G61" s="13">
        <v>27715.085999999999</v>
      </c>
      <c r="H61" s="13">
        <f t="shared" si="6"/>
        <v>1578.7749999999978</v>
      </c>
      <c r="I61" s="14">
        <f t="shared" si="7"/>
        <v>6.0405425999101314E-2</v>
      </c>
      <c r="J61" s="8" t="s">
        <v>357</v>
      </c>
    </row>
    <row r="62" spans="2:10" ht="55.2">
      <c r="B62" s="8" t="s">
        <v>121</v>
      </c>
      <c r="C62" s="8"/>
      <c r="D62" s="8"/>
      <c r="E62" s="8"/>
      <c r="F62" s="13">
        <v>9697.866</v>
      </c>
      <c r="G62" s="13">
        <v>12335.186</v>
      </c>
      <c r="H62" s="13">
        <f t="shared" si="6"/>
        <v>2637.3199999999997</v>
      </c>
      <c r="I62" s="14">
        <f t="shared" si="7"/>
        <v>0.27194848846127589</v>
      </c>
      <c r="J62" s="8" t="s">
        <v>358</v>
      </c>
    </row>
    <row r="63" spans="2:10" ht="55.2">
      <c r="B63" s="8" t="s">
        <v>122</v>
      </c>
      <c r="C63" s="8"/>
      <c r="D63" s="8"/>
      <c r="E63" s="8"/>
      <c r="F63" s="13">
        <v>42557.112999999998</v>
      </c>
      <c r="G63" s="13">
        <v>43723.411999999997</v>
      </c>
      <c r="H63" s="13">
        <f t="shared" si="6"/>
        <v>1166.2989999999991</v>
      </c>
      <c r="I63" s="14">
        <f t="shared" si="7"/>
        <v>2.7405500932358808E-2</v>
      </c>
      <c r="J63" s="8" t="s">
        <v>359</v>
      </c>
    </row>
    <row r="64" spans="2:10" ht="69">
      <c r="B64" s="8" t="s">
        <v>123</v>
      </c>
      <c r="C64" s="8"/>
      <c r="D64" s="8"/>
      <c r="E64" s="8"/>
      <c r="F64" s="13">
        <v>-47584.404999999999</v>
      </c>
      <c r="G64" s="13">
        <v>11198.99</v>
      </c>
      <c r="H64" s="13">
        <f t="shared" si="6"/>
        <v>58783.394999999997</v>
      </c>
      <c r="I64" s="14">
        <f t="shared" si="7"/>
        <v>1.2353500059525804</v>
      </c>
      <c r="J64" s="8" t="s">
        <v>390</v>
      </c>
    </row>
    <row r="65" spans="2:10" ht="69">
      <c r="B65" s="8" t="s">
        <v>124</v>
      </c>
      <c r="C65" s="8"/>
      <c r="D65" s="8"/>
      <c r="E65" s="8"/>
      <c r="F65" s="13">
        <v>-6604.3370000000004</v>
      </c>
      <c r="G65" s="13">
        <v>-91196.040999999997</v>
      </c>
      <c r="H65" s="13">
        <f t="shared" si="6"/>
        <v>-84591.703999999998</v>
      </c>
      <c r="I65" s="14">
        <f t="shared" si="7"/>
        <v>-12.808508106112694</v>
      </c>
      <c r="J65" s="8" t="s">
        <v>361</v>
      </c>
    </row>
    <row r="66" spans="2:10" ht="55.2">
      <c r="B66" s="8" t="s">
        <v>125</v>
      </c>
      <c r="C66" s="8"/>
      <c r="D66" s="8"/>
      <c r="E66" s="8"/>
      <c r="F66" s="13">
        <v>18500</v>
      </c>
      <c r="G66" s="13">
        <v>0</v>
      </c>
      <c r="H66" s="13">
        <f t="shared" si="6"/>
        <v>-18500</v>
      </c>
      <c r="I66" s="14">
        <f t="shared" si="7"/>
        <v>-1</v>
      </c>
      <c r="J66" s="8" t="s">
        <v>362</v>
      </c>
    </row>
    <row r="67" spans="2:10" ht="69">
      <c r="B67" s="8" t="s">
        <v>126</v>
      </c>
      <c r="C67" s="8"/>
      <c r="D67" s="8"/>
      <c r="E67" s="8"/>
      <c r="F67" s="13">
        <v>1829.130000000001</v>
      </c>
      <c r="G67" s="13">
        <v>6184.9290000000001</v>
      </c>
      <c r="H67" s="13">
        <f t="shared" si="6"/>
        <v>4355.7989999999991</v>
      </c>
      <c r="I67" s="14">
        <f t="shared" si="7"/>
        <v>2.3813501500713437</v>
      </c>
      <c r="J67" s="8" t="s">
        <v>363</v>
      </c>
    </row>
    <row r="68" spans="2:10" ht="69">
      <c r="B68" s="8" t="s">
        <v>127</v>
      </c>
      <c r="C68" s="8"/>
      <c r="D68" s="8"/>
      <c r="E68" s="8"/>
      <c r="F68" s="13">
        <v>306058.05200000003</v>
      </c>
      <c r="G68" s="13">
        <v>297626.80700000003</v>
      </c>
      <c r="H68" s="13">
        <f t="shared" si="6"/>
        <v>-8431.2449999999953</v>
      </c>
      <c r="I68" s="14">
        <f t="shared" si="7"/>
        <v>-2.754786206376297E-2</v>
      </c>
      <c r="J68" s="8" t="s">
        <v>364</v>
      </c>
    </row>
    <row r="69" spans="2:10" ht="69">
      <c r="B69" s="8" t="s">
        <v>128</v>
      </c>
      <c r="C69" s="8"/>
      <c r="D69" s="8"/>
      <c r="E69" s="8"/>
      <c r="F69" s="13">
        <v>191550.535</v>
      </c>
      <c r="G69" s="13">
        <v>176972.41899999999</v>
      </c>
      <c r="H69" s="13">
        <f t="shared" si="6"/>
        <v>-14578.116000000009</v>
      </c>
      <c r="I69" s="14">
        <f t="shared" si="7"/>
        <v>-7.6105848516685212E-2</v>
      </c>
      <c r="J69" s="8" t="s">
        <v>365</v>
      </c>
    </row>
    <row r="70" spans="2:10" ht="69">
      <c r="B70" s="12" t="s">
        <v>231</v>
      </c>
      <c r="C70" s="12"/>
      <c r="D70" s="12"/>
      <c r="E70" s="12"/>
      <c r="F70" s="15">
        <f>SUM('Schedule of Expenses'!F56,'Schedule of Expenses'!F57,'Schedule of Expenses'!F58,'Schedule of Expenses'!F59,'Schedule of Expenses'!F60,'Schedule of Expenses'!F61,'Schedule of Expenses'!F62,'Schedule of Expenses'!F63,'Schedule of Expenses'!F64,'Schedule of Expenses'!F65,'Schedule of Expenses'!F66,'Schedule of Expenses'!F67,'Schedule of Expenses'!F68,'Schedule of Expenses'!F69)</f>
        <v>756470.75600000005</v>
      </c>
      <c r="G70" s="15">
        <f>SUM('Schedule of Expenses'!G56,'Schedule of Expenses'!G57,'Schedule of Expenses'!G58,'Schedule of Expenses'!G59,'Schedule of Expenses'!G60,'Schedule of Expenses'!G61,'Schedule of Expenses'!G62,'Schedule of Expenses'!G63,'Schedule of Expenses'!G64,'Schedule of Expenses'!G65,'Schedule of Expenses'!G66,'Schedule of Expenses'!G67,'Schedule of Expenses'!G68,'Schedule of Expenses'!G69)</f>
        <v>727746.21600000001</v>
      </c>
      <c r="H70" s="15">
        <f t="shared" si="6"/>
        <v>-28724.540000000037</v>
      </c>
      <c r="I70" s="16">
        <f t="shared" si="7"/>
        <v>-3.7971778515123504E-2</v>
      </c>
      <c r="J70" s="8" t="s">
        <v>391</v>
      </c>
    </row>
    <row r="71" spans="2:10">
      <c r="B71" s="8"/>
      <c r="C71" s="8"/>
      <c r="D71" s="8"/>
      <c r="E71" s="8"/>
      <c r="F71" s="13"/>
      <c r="G71" s="13"/>
      <c r="H71" s="13"/>
      <c r="I71" s="14"/>
      <c r="J71" s="8"/>
    </row>
    <row r="72" spans="2:10">
      <c r="B72" s="19"/>
      <c r="C72" s="19"/>
      <c r="D72" s="19"/>
      <c r="E72" s="19"/>
      <c r="F72" s="20"/>
      <c r="G72" s="20"/>
      <c r="H72" s="20"/>
      <c r="I72" s="21"/>
      <c r="J72" s="19"/>
    </row>
    <row r="73" spans="2:10">
      <c r="B73" s="19"/>
      <c r="C73" s="19"/>
      <c r="D73" s="19"/>
      <c r="E73" s="19"/>
      <c r="F73" s="20"/>
      <c r="G73" s="20"/>
      <c r="H73" s="20"/>
      <c r="I73" s="21"/>
      <c r="J73" s="19"/>
    </row>
    <row r="74" spans="2:10">
      <c r="B74" s="19"/>
      <c r="C74" s="19"/>
      <c r="D74" s="19"/>
      <c r="E74" s="19"/>
      <c r="F74" s="20"/>
      <c r="G74" s="20"/>
      <c r="H74" s="20"/>
      <c r="I74" s="21"/>
      <c r="J74" s="19"/>
    </row>
    <row r="75" spans="2:10">
      <c r="B75" s="19"/>
      <c r="C75" s="19"/>
      <c r="D75" s="19"/>
      <c r="E75" s="19"/>
      <c r="F75" s="20"/>
      <c r="G75" s="20"/>
      <c r="H75" s="20"/>
      <c r="I75" s="21"/>
      <c r="J75" s="19"/>
    </row>
    <row r="76" spans="2:10">
      <c r="B76" s="19"/>
      <c r="C76" s="19"/>
      <c r="D76" s="19"/>
      <c r="E76" s="19"/>
      <c r="F76" s="20"/>
      <c r="G76" s="20"/>
      <c r="H76" s="20"/>
      <c r="I76" s="21"/>
      <c r="J76" s="19"/>
    </row>
    <row r="77" spans="2:10">
      <c r="B77" s="19"/>
      <c r="C77" s="19"/>
      <c r="D77" s="19"/>
      <c r="E77" s="19"/>
      <c r="F77" s="20"/>
      <c r="G77" s="20"/>
      <c r="H77" s="20"/>
      <c r="I77" s="21"/>
      <c r="J77" s="19"/>
    </row>
    <row r="78" spans="2:10">
      <c r="B78" s="19"/>
      <c r="C78" s="19"/>
      <c r="D78" s="19"/>
      <c r="E78" s="19"/>
      <c r="F78" s="20"/>
      <c r="G78" s="20"/>
      <c r="H78" s="20"/>
      <c r="I78" s="21"/>
      <c r="J78" s="19"/>
    </row>
    <row r="79" spans="2:10">
      <c r="B79" s="19"/>
      <c r="C79" s="19"/>
      <c r="D79" s="19"/>
      <c r="E79" s="19"/>
      <c r="F79" s="20"/>
      <c r="G79" s="20"/>
      <c r="H79" s="20"/>
      <c r="I79" s="21"/>
      <c r="J79" s="19"/>
    </row>
    <row r="80" spans="2:10">
      <c r="B80" s="19"/>
      <c r="C80" s="19"/>
      <c r="D80" s="19"/>
      <c r="E80" s="19"/>
      <c r="F80" s="20"/>
      <c r="G80" s="20"/>
      <c r="H80" s="20"/>
      <c r="I80" s="21"/>
      <c r="J80" s="19"/>
    </row>
    <row r="81" spans="2:10">
      <c r="B81" s="19"/>
      <c r="C81" s="19"/>
      <c r="D81" s="19"/>
      <c r="E81" s="19"/>
      <c r="F81" s="20"/>
      <c r="G81" s="20"/>
      <c r="H81" s="20"/>
      <c r="I81" s="21"/>
      <c r="J81" s="19"/>
    </row>
    <row r="82" spans="2:10">
      <c r="B82" s="19"/>
      <c r="C82" s="19"/>
      <c r="D82" s="19"/>
      <c r="E82" s="19"/>
      <c r="F82" s="20"/>
      <c r="G82" s="20"/>
      <c r="H82" s="20"/>
      <c r="I82" s="21"/>
      <c r="J82" s="19"/>
    </row>
    <row r="83" spans="2:10">
      <c r="B83" s="19"/>
      <c r="C83" s="19"/>
      <c r="D83" s="19"/>
      <c r="E83" s="19"/>
      <c r="F83" s="20"/>
      <c r="G83" s="20"/>
      <c r="H83" s="20"/>
      <c r="I83" s="21"/>
      <c r="J83" s="19"/>
    </row>
    <row r="84" spans="2:10">
      <c r="B84" s="19"/>
      <c r="C84" s="19"/>
      <c r="D84" s="19"/>
      <c r="E84" s="19"/>
      <c r="F84" s="20"/>
      <c r="G84" s="20"/>
      <c r="H84" s="20"/>
      <c r="I84" s="21"/>
      <c r="J84" s="19"/>
    </row>
    <row r="85" spans="2:10">
      <c r="B85" s="19"/>
      <c r="C85" s="19"/>
      <c r="D85" s="19"/>
      <c r="E85" s="19"/>
      <c r="F85" s="20"/>
      <c r="G85" s="20"/>
      <c r="H85" s="20"/>
      <c r="I85" s="21"/>
      <c r="J85" s="19"/>
    </row>
    <row r="86" spans="2:10">
      <c r="B86" s="19"/>
      <c r="C86" s="19"/>
      <c r="D86" s="19"/>
      <c r="E86" s="19"/>
      <c r="F86" s="20"/>
      <c r="G86" s="20"/>
      <c r="H86" s="20"/>
      <c r="I86" s="21"/>
      <c r="J86" s="19"/>
    </row>
    <row r="87" spans="2:10">
      <c r="B87" s="19"/>
      <c r="C87" s="19"/>
      <c r="D87" s="19"/>
      <c r="E87" s="19"/>
      <c r="F87" s="20"/>
      <c r="G87" s="20"/>
      <c r="H87" s="20"/>
      <c r="I87" s="21"/>
      <c r="J87" s="19"/>
    </row>
    <row r="88" spans="2:10">
      <c r="J88" s="55"/>
    </row>
    <row r="89" spans="2:10" ht="34.049999999999997" customHeight="1"/>
    <row r="90" spans="2:10" ht="19.95" customHeight="1"/>
    <row r="91" spans="2:10" ht="28.05" customHeight="1"/>
    <row r="92" spans="2:10" ht="28.05" customHeight="1"/>
    <row r="93" spans="2:10" ht="28.05" customHeight="1"/>
    <row r="94" spans="2:10" ht="28.05" customHeight="1"/>
    <row r="95" spans="2:10" ht="28.05" customHeight="1"/>
    <row r="96" spans="2:10" ht="28.05" customHeight="1"/>
    <row r="97" ht="28.05" customHeight="1"/>
    <row r="98" ht="28.05" customHeight="1"/>
    <row r="99" ht="28.05" customHeight="1"/>
    <row r="100" ht="28.05" customHeight="1"/>
    <row r="101" ht="28.05" customHeight="1"/>
    <row r="102" ht="28.05" customHeight="1"/>
    <row r="103" ht="28.05" customHeight="1"/>
    <row r="104" ht="28.05" customHeight="1"/>
    <row r="105" ht="28.05" customHeight="1"/>
    <row r="106" ht="28.05" customHeight="1"/>
    <row r="107" ht="28.05" customHeight="1"/>
    <row r="108" ht="28.05" customHeight="1"/>
    <row r="109" ht="28.05" customHeight="1"/>
    <row r="110" ht="28.05" customHeight="1"/>
    <row r="111" ht="28.05" customHeight="1"/>
    <row r="112" ht="28.05" customHeight="1"/>
    <row r="113" ht="28.05" customHeight="1"/>
    <row r="114" ht="28.05" customHeight="1"/>
    <row r="115" ht="28.05" customHeight="1"/>
    <row r="116" ht="28.05" customHeight="1"/>
    <row r="117" ht="28.05" customHeight="1"/>
    <row r="118" ht="28.05" customHeight="1"/>
    <row r="119" ht="28.05" customHeight="1"/>
    <row r="120" ht="28.05" customHeight="1"/>
    <row r="121" ht="28.05" customHeight="1"/>
    <row r="122" ht="28.05" customHeight="1"/>
    <row r="123" ht="28.05" customHeight="1"/>
    <row r="124" ht="28.05" customHeight="1"/>
    <row r="125" ht="28.05" customHeight="1"/>
    <row r="126" ht="28.05" customHeight="1"/>
    <row r="127" ht="28.05" customHeight="1"/>
    <row r="128" ht="28.05" customHeight="1"/>
    <row r="129" ht="28.05" customHeight="1"/>
    <row r="130" ht="28.05" customHeight="1"/>
    <row r="131" ht="28.05" customHeight="1"/>
    <row r="132" ht="28.05" customHeight="1"/>
    <row r="133" ht="28.05" customHeight="1"/>
    <row r="134" ht="28.05" customHeight="1"/>
    <row r="135" ht="28.05" customHeight="1"/>
    <row r="136" ht="28.05" customHeight="1"/>
    <row r="137" ht="28.05" customHeight="1"/>
    <row r="138" ht="28.05" customHeight="1"/>
    <row r="139" ht="28.05" customHeight="1"/>
    <row r="140" ht="28.05" customHeight="1"/>
    <row r="141" ht="28.05" customHeight="1"/>
    <row r="142" ht="28.05" customHeight="1"/>
    <row r="143" ht="28.05" customHeight="1"/>
    <row r="144" ht="28.05" customHeight="1"/>
    <row r="145" ht="28.05" customHeight="1"/>
    <row r="146" ht="28.05" customHeight="1"/>
    <row r="147" ht="28.05" customHeight="1"/>
    <row r="148" ht="28.05" customHeight="1"/>
    <row r="149" ht="28.05" customHeight="1"/>
    <row r="150" ht="28.05" customHeight="1"/>
    <row r="151" ht="28.05" customHeight="1"/>
    <row r="152" ht="28.05" customHeight="1"/>
    <row r="153" ht="28.05" customHeight="1"/>
    <row r="154" ht="28.05" customHeight="1"/>
    <row r="155" ht="28.05" customHeight="1"/>
    <row r="156" ht="28.05" customHeight="1"/>
    <row r="157" ht="28.05" customHeight="1"/>
    <row r="158" ht="28.05" customHeight="1"/>
    <row r="159" ht="28.05" customHeight="1"/>
    <row r="160" ht="28.05" customHeight="1"/>
    <row r="161" ht="28.05" customHeight="1"/>
    <row r="162" ht="28.05" customHeight="1"/>
    <row r="163" ht="28.05" customHeight="1"/>
    <row r="164" ht="28.05" customHeight="1"/>
    <row r="165" ht="28.05" customHeight="1"/>
    <row r="166" ht="28.05" customHeight="1"/>
    <row r="167" ht="28.05" customHeight="1"/>
    <row r="168" ht="28.05" customHeight="1"/>
    <row r="169" ht="28.05" customHeight="1"/>
    <row r="170" ht="28.05" customHeight="1"/>
    <row r="171" ht="28.05" customHeight="1"/>
    <row r="172" ht="28.05" customHeight="1"/>
    <row r="173" ht="28.05" customHeight="1"/>
    <row r="174" ht="28.05" customHeight="1"/>
    <row r="175" ht="28.05" customHeight="1"/>
    <row r="176" ht="28.05" customHeight="1"/>
    <row r="177" ht="28.05" customHeight="1"/>
    <row r="178" ht="28.05" customHeight="1"/>
    <row r="179" ht="28.05" customHeight="1"/>
    <row r="180" ht="28.05" customHeight="1"/>
    <row r="181" ht="28.05" customHeight="1"/>
    <row r="182" ht="28.05" customHeight="1"/>
    <row r="183" ht="28.05" customHeight="1"/>
    <row r="184" ht="28.05" customHeight="1"/>
    <row r="185" ht="28.05" customHeight="1"/>
    <row r="186" ht="28.05" customHeight="1"/>
    <row r="187" ht="28.05" customHeight="1"/>
    <row r="188" ht="28.05" customHeight="1"/>
    <row r="189" ht="28.05" customHeight="1"/>
    <row r="190" ht="28.05" customHeight="1"/>
    <row r="191" ht="28.05" customHeight="1"/>
    <row r="192" ht="28.05" customHeight="1"/>
    <row r="193" ht="28.05" customHeight="1"/>
    <row r="194" ht="28.05" customHeight="1"/>
    <row r="195" ht="28.05" customHeight="1"/>
    <row r="196" ht="28.05" customHeight="1"/>
    <row r="197" ht="28.05" customHeight="1"/>
    <row r="198" ht="28.05" customHeight="1"/>
    <row r="199" ht="28.05" customHeight="1"/>
    <row r="200" ht="28.05" customHeight="1"/>
    <row r="201" ht="28.05" customHeight="1"/>
    <row r="202" ht="28.05" customHeight="1"/>
    <row r="203" ht="28.05" customHeight="1"/>
    <row r="204" ht="28.05" customHeight="1"/>
    <row r="205" ht="28.05" customHeight="1"/>
    <row r="206" ht="28.05" customHeight="1"/>
    <row r="207" ht="28.05" customHeight="1"/>
    <row r="208" ht="28.05" customHeight="1"/>
    <row r="209" ht="28.05" customHeight="1"/>
    <row r="210" ht="28.05" customHeight="1"/>
    <row r="211" ht="28.05" customHeight="1"/>
    <row r="212" ht="28.05" customHeight="1"/>
    <row r="213" ht="28.05" customHeight="1"/>
    <row r="214" ht="28.05" customHeight="1"/>
    <row r="215" ht="28.05" customHeight="1"/>
    <row r="216" ht="28.05" customHeight="1"/>
    <row r="217" ht="28.05" customHeight="1"/>
    <row r="218" ht="28.05" customHeight="1"/>
    <row r="219" ht="28.05" customHeight="1"/>
    <row r="220" ht="28.05" customHeight="1"/>
    <row r="221" ht="28.05" customHeight="1"/>
    <row r="222" ht="28.05" customHeight="1"/>
    <row r="223" ht="28.05" customHeight="1"/>
    <row r="224" ht="28.05" customHeight="1"/>
    <row r="225" ht="28.05" customHeight="1"/>
    <row r="226" ht="28.05" customHeight="1"/>
    <row r="227" ht="28.05" customHeight="1"/>
    <row r="228" ht="28.05" customHeight="1"/>
    <row r="229" ht="28.05" customHeight="1"/>
    <row r="230" ht="28.05" customHeight="1"/>
    <row r="231" ht="28.05" customHeight="1"/>
    <row r="232" ht="28.05" customHeight="1"/>
    <row r="233" ht="28.05" customHeight="1"/>
    <row r="234" ht="28.05" customHeight="1"/>
    <row r="235" ht="28.05" customHeight="1"/>
    <row r="236" ht="28.05" customHeight="1"/>
    <row r="237" ht="28.05" customHeight="1"/>
    <row r="238" ht="28.05" customHeight="1"/>
    <row r="239" ht="28.05" customHeight="1"/>
    <row r="240" ht="28.05" customHeight="1"/>
    <row r="241" ht="28.05" customHeight="1"/>
    <row r="242" ht="28.05" customHeight="1"/>
    <row r="243" ht="28.05" customHeight="1"/>
    <row r="244" ht="28.05" customHeight="1"/>
    <row r="245" ht="28.05" customHeight="1"/>
    <row r="246" ht="28.05" customHeight="1"/>
    <row r="247" ht="28.05" customHeight="1"/>
    <row r="248" ht="28.05" customHeight="1"/>
    <row r="249" ht="28.05" customHeight="1"/>
    <row r="250" ht="28.05" customHeight="1"/>
    <row r="251" ht="28.05" customHeight="1"/>
    <row r="252" ht="28.05" customHeight="1"/>
    <row r="253" ht="28.05" customHeight="1"/>
    <row r="254" ht="28.05" customHeight="1"/>
    <row r="255" ht="28.05" customHeight="1"/>
    <row r="256" ht="28.05" customHeight="1"/>
    <row r="257" ht="28.05" customHeight="1"/>
    <row r="258" ht="28.05" customHeight="1"/>
    <row r="259" ht="28.05" customHeight="1"/>
    <row r="260" ht="28.05" customHeight="1"/>
    <row r="261" ht="28.05" customHeight="1"/>
    <row r="262" ht="28.05" customHeight="1"/>
    <row r="263" ht="28.05" customHeight="1"/>
    <row r="264" ht="28.05" customHeight="1"/>
    <row r="265" ht="28.05" customHeight="1"/>
    <row r="266" ht="28.05" customHeight="1"/>
    <row r="267" ht="28.05" customHeight="1"/>
    <row r="268" ht="28.05" customHeight="1"/>
    <row r="269" ht="28.05" customHeight="1"/>
    <row r="270" ht="28.05" customHeight="1"/>
    <row r="271" ht="28.05" customHeight="1"/>
    <row r="272" ht="28.05" customHeight="1"/>
    <row r="273" ht="28.05" customHeight="1"/>
    <row r="274" ht="28.05" customHeight="1"/>
    <row r="275" ht="28.05" customHeight="1"/>
    <row r="276" ht="28.05" customHeight="1"/>
    <row r="277" ht="28.05" customHeight="1"/>
    <row r="278" ht="28.05" customHeight="1"/>
    <row r="279" ht="28.05" customHeight="1"/>
    <row r="280" ht="28.05" customHeight="1"/>
    <row r="281" ht="28.05" customHeight="1"/>
    <row r="282" ht="28.05" customHeight="1"/>
    <row r="283" ht="28.05" customHeight="1"/>
    <row r="284" ht="28.05" customHeight="1"/>
    <row r="285" ht="28.05" customHeight="1"/>
    <row r="286" ht="28.05" customHeight="1"/>
    <row r="287" ht="28.05" customHeight="1"/>
    <row r="288" ht="28.05" customHeight="1"/>
    <row r="289" ht="28.05" customHeight="1"/>
    <row r="290" ht="28.05" customHeight="1"/>
    <row r="291" ht="28.05" customHeight="1"/>
    <row r="292" ht="28.05" customHeight="1"/>
    <row r="293" ht="28.05" customHeight="1"/>
    <row r="294" ht="28.05" customHeight="1"/>
    <row r="295" ht="28.05" customHeight="1"/>
    <row r="296" ht="28.05" customHeight="1"/>
    <row r="297" ht="28.05" customHeight="1"/>
    <row r="298" ht="28.05" customHeight="1"/>
    <row r="299" ht="28.05" customHeight="1"/>
    <row r="300" ht="28.05" customHeight="1"/>
    <row r="301" ht="28.05" customHeight="1"/>
    <row r="302" ht="28.05" customHeight="1"/>
    <row r="303" ht="28.05" customHeight="1"/>
    <row r="304" ht="28.05" customHeight="1"/>
    <row r="305" ht="28.05" customHeight="1"/>
    <row r="306" ht="28.05" customHeight="1"/>
    <row r="307" ht="28.05" customHeight="1"/>
    <row r="308" ht="19.95" customHeight="1"/>
    <row r="309" ht="31.95" customHeight="1"/>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B2:AD93"/>
  <sheetViews>
    <sheetView workbookViewId="0">
      <pane xSplit="3" ySplit="6" topLeftCell="D7" activePane="bottomRight" state="frozen"/>
      <selection pane="topRight"/>
      <selection pane="bottomLeft"/>
      <selection pane="bottomRight" activeCell="AK14" sqref="AK14"/>
    </sheetView>
  </sheetViews>
  <sheetFormatPr defaultRowHeight="13.8"/>
  <cols>
    <col min="1" max="1" width="2.5" customWidth="1"/>
    <col min="2" max="2" width="7" customWidth="1"/>
    <col min="3" max="3" width="25" customWidth="1"/>
    <col min="4" max="4" width="18" customWidth="1"/>
    <col min="5" max="5" width="12" customWidth="1"/>
    <col min="6" max="6" width="18" customWidth="1"/>
    <col min="7" max="7" width="12" customWidth="1"/>
    <col min="8" max="8" width="18" customWidth="1"/>
    <col min="9" max="9" width="12" customWidth="1"/>
    <col min="10" max="10" width="18" customWidth="1"/>
    <col min="11" max="11" width="12" customWidth="1"/>
    <col min="12" max="12" width="18" customWidth="1"/>
    <col min="13" max="13" width="12" customWidth="1"/>
    <col min="14" max="14" width="18" customWidth="1"/>
    <col min="15" max="15" width="12" customWidth="1"/>
    <col min="16" max="16" width="18" customWidth="1"/>
    <col min="17" max="17" width="12" customWidth="1"/>
    <col min="18" max="18" width="18" customWidth="1"/>
    <col min="19" max="19" width="12" customWidth="1"/>
    <col min="20" max="20" width="18" customWidth="1"/>
    <col min="21" max="21" width="12" customWidth="1"/>
    <col min="22" max="22" width="18" customWidth="1"/>
    <col min="23" max="23" width="12" customWidth="1"/>
    <col min="24" max="24" width="18" customWidth="1"/>
    <col min="25" max="25" width="12" customWidth="1"/>
    <col min="26" max="26" width="18" customWidth="1"/>
    <col min="27" max="27" width="12" customWidth="1"/>
    <col min="28" max="28" width="21" customWidth="1"/>
    <col min="29" max="29" width="14" customWidth="1"/>
  </cols>
  <sheetData>
    <row r="2" spans="2:30" ht="25.95" customHeight="1">
      <c r="B2" s="1"/>
      <c r="C2" s="17" t="s">
        <v>0</v>
      </c>
      <c r="D2" s="1"/>
      <c r="E2" s="1"/>
      <c r="F2" s="1"/>
      <c r="G2" s="1"/>
      <c r="H2" s="1"/>
      <c r="I2" s="1"/>
      <c r="J2" s="1"/>
      <c r="K2" s="1"/>
      <c r="L2" s="1"/>
      <c r="M2" s="1"/>
      <c r="N2" s="1"/>
      <c r="O2" s="1"/>
      <c r="P2" s="1"/>
      <c r="Q2" s="1"/>
      <c r="R2" s="1"/>
      <c r="S2" s="1"/>
      <c r="T2" s="1"/>
      <c r="U2" s="1"/>
      <c r="V2" s="1"/>
      <c r="W2" s="1"/>
      <c r="X2" s="1"/>
      <c r="Y2" s="1"/>
      <c r="Z2" s="1"/>
      <c r="AA2" s="1"/>
      <c r="AB2" s="1"/>
      <c r="AC2" s="1"/>
    </row>
    <row r="3" spans="2:30" ht="24" customHeight="1">
      <c r="B3" s="3"/>
      <c r="C3" s="17" t="s">
        <v>232</v>
      </c>
      <c r="D3" s="3"/>
      <c r="E3" s="3"/>
      <c r="F3" s="3"/>
      <c r="G3" s="3"/>
      <c r="H3" s="3"/>
      <c r="I3" s="3"/>
      <c r="J3" s="3"/>
      <c r="K3" s="3"/>
      <c r="L3" s="3"/>
      <c r="M3" s="3"/>
      <c r="N3" s="3"/>
      <c r="O3" s="3"/>
      <c r="P3" s="3"/>
      <c r="Q3" s="3"/>
      <c r="R3" s="3"/>
      <c r="S3" s="3"/>
      <c r="T3" s="3"/>
      <c r="U3" s="3"/>
      <c r="V3" s="3"/>
      <c r="W3" s="3"/>
      <c r="X3" s="3"/>
      <c r="Y3" s="3"/>
      <c r="Z3" s="3"/>
      <c r="AA3" s="3"/>
      <c r="AB3" s="3"/>
      <c r="AC3" s="3"/>
    </row>
    <row r="4" spans="2:30" s="5" customFormat="1" ht="19.05" customHeight="1">
      <c r="B4" s="4"/>
      <c r="C4" s="4"/>
      <c r="D4" s="4"/>
      <c r="E4" s="4"/>
      <c r="F4" s="4"/>
      <c r="G4" s="4"/>
      <c r="H4" s="4"/>
      <c r="I4" s="4"/>
      <c r="J4" s="4"/>
      <c r="K4" s="4"/>
      <c r="L4" s="4"/>
      <c r="M4" s="4"/>
      <c r="N4" s="4"/>
      <c r="O4" s="4"/>
      <c r="P4" s="4"/>
      <c r="Q4" s="4"/>
      <c r="R4" s="4"/>
      <c r="S4" s="4"/>
      <c r="T4" s="4"/>
      <c r="U4" s="4"/>
      <c r="V4" s="4"/>
      <c r="W4" s="4"/>
      <c r="X4" s="4"/>
      <c r="Y4" s="4"/>
      <c r="Z4" s="4"/>
      <c r="AA4" s="4"/>
      <c r="AB4" s="4"/>
      <c r="AC4" s="4"/>
      <c r="AD4"/>
    </row>
    <row r="5" spans="2:30" ht="7.95" customHeight="1">
      <c r="B5" s="2"/>
      <c r="C5" s="2"/>
      <c r="D5" s="2"/>
      <c r="E5" s="2"/>
      <c r="F5" s="2"/>
      <c r="G5" s="2"/>
      <c r="H5" s="2"/>
      <c r="I5" s="2"/>
      <c r="J5" s="2"/>
      <c r="K5" s="2"/>
      <c r="L5" s="2"/>
      <c r="M5" s="2"/>
      <c r="N5" s="2"/>
      <c r="O5" s="2"/>
      <c r="P5" s="2"/>
      <c r="Q5" s="2"/>
      <c r="R5" s="2"/>
      <c r="S5" s="2"/>
      <c r="T5" s="2"/>
      <c r="U5" s="2"/>
      <c r="V5" s="2"/>
      <c r="W5" s="2"/>
      <c r="X5" s="2"/>
      <c r="Y5" s="2"/>
      <c r="Z5" s="2"/>
      <c r="AA5" s="2"/>
      <c r="AB5" s="2"/>
      <c r="AC5" s="2"/>
    </row>
    <row r="6" spans="2:30" ht="27.6">
      <c r="B6" s="18" t="s">
        <v>6</v>
      </c>
      <c r="C6" s="18" t="s">
        <v>7</v>
      </c>
      <c r="D6" s="18" t="s">
        <v>8</v>
      </c>
      <c r="E6" s="18" t="s">
        <v>9</v>
      </c>
      <c r="F6" s="18" t="s">
        <v>10</v>
      </c>
      <c r="G6" s="18" t="s">
        <v>11</v>
      </c>
      <c r="H6" s="18" t="s">
        <v>12</v>
      </c>
      <c r="I6" s="18" t="s">
        <v>13</v>
      </c>
      <c r="J6" s="18" t="s">
        <v>14</v>
      </c>
      <c r="K6" s="18" t="s">
        <v>15</v>
      </c>
      <c r="L6" s="18" t="s">
        <v>16</v>
      </c>
      <c r="M6" s="18" t="s">
        <v>17</v>
      </c>
      <c r="N6" s="18" t="s">
        <v>18</v>
      </c>
      <c r="O6" s="18" t="s">
        <v>19</v>
      </c>
      <c r="P6" s="18" t="s">
        <v>20</v>
      </c>
      <c r="Q6" s="18" t="s">
        <v>21</v>
      </c>
      <c r="R6" s="18" t="s">
        <v>22</v>
      </c>
      <c r="S6" s="18" t="s">
        <v>23</v>
      </c>
      <c r="T6" s="18" t="s">
        <v>24</v>
      </c>
      <c r="U6" s="18" t="s">
        <v>25</v>
      </c>
      <c r="V6" s="18" t="s">
        <v>26</v>
      </c>
      <c r="W6" s="18" t="s">
        <v>27</v>
      </c>
      <c r="X6" s="18" t="s">
        <v>28</v>
      </c>
      <c r="Y6" s="18" t="s">
        <v>29</v>
      </c>
      <c r="Z6" s="18" t="s">
        <v>30</v>
      </c>
      <c r="AA6" s="18" t="s">
        <v>31</v>
      </c>
      <c r="AB6" s="18" t="s">
        <v>32</v>
      </c>
      <c r="AC6" s="18" t="s">
        <v>33</v>
      </c>
    </row>
    <row r="7" spans="2:30">
      <c r="B7" s="9">
        <f t="shared" ref="B7:B38" si="0">COUNTIFS($AB$7:$AB$75,"&gt;"&amp;AB7)+1</f>
        <v>1</v>
      </c>
      <c r="C7" s="9" t="s">
        <v>233</v>
      </c>
      <c r="D7" s="22">
        <v>14677351.539999999</v>
      </c>
      <c r="E7" s="10">
        <f t="shared" ref="E7:E43" si="1">IF(D$83=0,"n.a.",D7/D$83)</f>
        <v>4.2080448416128846E-2</v>
      </c>
      <c r="F7" s="22">
        <v>15642673.439999999</v>
      </c>
      <c r="G7" s="10">
        <f t="shared" ref="G7:G43" si="2">IF(F$83=0,"n.a.",F7/F$83)</f>
        <v>4.7550892320113856E-2</v>
      </c>
      <c r="H7" s="22">
        <v>15913417.65</v>
      </c>
      <c r="I7" s="10">
        <f t="shared" ref="I7:I43" si="3">IF(H$83=0,"n.a.",H7/H$83)</f>
        <v>4.718952371468927E-2</v>
      </c>
      <c r="J7" s="22">
        <v>14525119.619999999</v>
      </c>
      <c r="K7" s="10">
        <f t="shared" ref="K7:K43" si="4">IF(J$83=0,"n.a.",J7/J$83)</f>
        <v>4.2459501955790624E-2</v>
      </c>
      <c r="L7" s="22">
        <v>16743536.57</v>
      </c>
      <c r="M7" s="10">
        <f t="shared" ref="M7:M50" si="5">IF(L$83=0,"n.a.",L7/L$83)</f>
        <v>4.7824833922045992E-2</v>
      </c>
      <c r="N7" s="22">
        <v>15469225.73</v>
      </c>
      <c r="O7" s="10">
        <f t="shared" ref="O7:O50" si="6">IF(N$83=0,"n.a.",N7/N$83)</f>
        <v>4.4461291456052481E-2</v>
      </c>
      <c r="P7" s="22">
        <v>14969771.630000001</v>
      </c>
      <c r="Q7" s="10">
        <f t="shared" ref="Q7:Q50" si="7">IF(P$83=0,"n.a.",P7/P$83)</f>
        <v>4.0412416010824501E-2</v>
      </c>
      <c r="R7" s="22">
        <v>15330888.1</v>
      </c>
      <c r="S7" s="10">
        <f t="shared" ref="S7:S50" si="8">IF(R$83=0,"n.a.",R7/R$83)</f>
        <v>4.0385929536169873E-2</v>
      </c>
      <c r="T7" s="22">
        <v>15250802.060000001</v>
      </c>
      <c r="U7" s="10">
        <f t="shared" ref="U7:U51" si="9">IF(T$83=0,"n.a.",T7/T$83)</f>
        <v>4.2072519643545185E-2</v>
      </c>
      <c r="V7" s="22">
        <v>16749195.640000001</v>
      </c>
      <c r="W7" s="10">
        <f t="shared" ref="W7:W51" si="10">IF(V$83=0,"n.a.",V7/V$83)</f>
        <v>4.4637057538127078E-2</v>
      </c>
      <c r="X7" s="22">
        <v>18034117.48</v>
      </c>
      <c r="Y7" s="10">
        <f t="shared" ref="Y7:Y47" si="11">IF(X$83=0,"n.a.",X7/X$83)</f>
        <v>4.8933274085417401E-2</v>
      </c>
      <c r="Z7" s="22">
        <v>20304770.66</v>
      </c>
      <c r="AA7" s="10">
        <f t="shared" ref="AA7:AA47" si="12">IF(Z$83=0,"n.a.",Z7/Z$83)</f>
        <v>4.675845268547605E-2</v>
      </c>
      <c r="AB7" s="22">
        <f t="shared" ref="AB7:AB38" si="13">SUM(D7,F7,H7,J7,L7,N7,P7,R7,T7,V7,X7,Z7)</f>
        <v>193610870.11999995</v>
      </c>
      <c r="AC7" s="10">
        <f t="shared" ref="AC7:AC38" si="14">IF($AB$83=0,"n.a.",AB7/$AB$83)</f>
        <v>4.4552791182271269E-2</v>
      </c>
    </row>
    <row r="8" spans="2:30">
      <c r="B8" s="9">
        <f t="shared" si="0"/>
        <v>2</v>
      </c>
      <c r="C8" s="9" t="s">
        <v>234</v>
      </c>
      <c r="D8" s="22">
        <v>16117266.039999999</v>
      </c>
      <c r="E8" s="10">
        <f t="shared" si="1"/>
        <v>4.6208730529952634E-2</v>
      </c>
      <c r="F8" s="22">
        <v>14476606.09</v>
      </c>
      <c r="G8" s="10">
        <f t="shared" si="2"/>
        <v>4.4006258903675897E-2</v>
      </c>
      <c r="H8" s="22">
        <v>13117883.619999999</v>
      </c>
      <c r="I8" s="10">
        <f t="shared" si="3"/>
        <v>3.8899669058363701E-2</v>
      </c>
      <c r="J8" s="22">
        <v>14869919.890000001</v>
      </c>
      <c r="K8" s="10">
        <f t="shared" si="4"/>
        <v>4.3467414325631899E-2</v>
      </c>
      <c r="L8" s="22">
        <v>14757866.869999999</v>
      </c>
      <c r="M8" s="10">
        <f t="shared" si="5"/>
        <v>4.2153133488298321E-2</v>
      </c>
      <c r="N8" s="22">
        <v>14603870.529999999</v>
      </c>
      <c r="O8" s="10">
        <f t="shared" si="6"/>
        <v>4.1974107518617583E-2</v>
      </c>
      <c r="P8" s="22">
        <v>14908990.189999999</v>
      </c>
      <c r="Q8" s="10">
        <f t="shared" si="7"/>
        <v>4.0248330352089773E-2</v>
      </c>
      <c r="R8" s="22">
        <v>15288034.07</v>
      </c>
      <c r="S8" s="10">
        <f t="shared" si="8"/>
        <v>4.0273039805018493E-2</v>
      </c>
      <c r="T8" s="22">
        <v>14562154.1</v>
      </c>
      <c r="U8" s="10">
        <f t="shared" si="9"/>
        <v>4.0172740555822414E-2</v>
      </c>
      <c r="V8" s="22">
        <v>14546451.300000001</v>
      </c>
      <c r="W8" s="10">
        <f t="shared" si="10"/>
        <v>3.8766684538748597E-2</v>
      </c>
      <c r="X8" s="22">
        <v>14210296.15</v>
      </c>
      <c r="Y8" s="10">
        <f t="shared" si="11"/>
        <v>3.8557823365299587E-2</v>
      </c>
      <c r="Z8" s="22">
        <v>16513973.609999999</v>
      </c>
      <c r="AA8" s="10">
        <f t="shared" si="12"/>
        <v>3.8028888216577621E-2</v>
      </c>
      <c r="AB8" s="22">
        <f t="shared" si="13"/>
        <v>177973312.46000004</v>
      </c>
      <c r="AC8" s="10">
        <f t="shared" si="14"/>
        <v>4.0954352517154534E-2</v>
      </c>
    </row>
    <row r="9" spans="2:30">
      <c r="B9" s="9">
        <f t="shared" si="0"/>
        <v>3</v>
      </c>
      <c r="C9" s="9" t="s">
        <v>235</v>
      </c>
      <c r="D9" s="22">
        <v>14107338.289999999</v>
      </c>
      <c r="E9" s="10">
        <f t="shared" si="1"/>
        <v>4.0446201726747247E-2</v>
      </c>
      <c r="F9" s="22">
        <v>13614205.1</v>
      </c>
      <c r="G9" s="10">
        <f t="shared" si="2"/>
        <v>4.1384716187877209E-2</v>
      </c>
      <c r="H9" s="22">
        <v>15110608.470000001</v>
      </c>
      <c r="I9" s="10">
        <f t="shared" si="3"/>
        <v>4.4808879677612781E-2</v>
      </c>
      <c r="J9" s="22">
        <v>13651635.140000001</v>
      </c>
      <c r="K9" s="10">
        <f t="shared" si="4"/>
        <v>3.9906151831510361E-2</v>
      </c>
      <c r="L9" s="22">
        <v>14711147.140000001</v>
      </c>
      <c r="M9" s="10">
        <f t="shared" si="5"/>
        <v>4.2019687168950465E-2</v>
      </c>
      <c r="N9" s="22">
        <v>13755073.34</v>
      </c>
      <c r="O9" s="10">
        <f t="shared" si="6"/>
        <v>3.9534514231250872E-2</v>
      </c>
      <c r="P9" s="22">
        <v>14000425.76</v>
      </c>
      <c r="Q9" s="10">
        <f t="shared" si="7"/>
        <v>3.7795568571528285E-2</v>
      </c>
      <c r="R9" s="22">
        <v>13991403.359999999</v>
      </c>
      <c r="S9" s="10">
        <f t="shared" si="8"/>
        <v>3.6857344892439102E-2</v>
      </c>
      <c r="T9" s="22">
        <v>13739565.92</v>
      </c>
      <c r="U9" s="10">
        <f t="shared" si="9"/>
        <v>3.7903459423889736E-2</v>
      </c>
      <c r="V9" s="22">
        <v>14183289.539999999</v>
      </c>
      <c r="W9" s="10">
        <f t="shared" si="10"/>
        <v>3.7798848666197551E-2</v>
      </c>
      <c r="X9" s="22">
        <v>13823648.1</v>
      </c>
      <c r="Y9" s="10">
        <f t="shared" si="11"/>
        <v>3.7508703272440887E-2</v>
      </c>
      <c r="Z9" s="22">
        <v>14480185.68</v>
      </c>
      <c r="AA9" s="10">
        <f t="shared" si="12"/>
        <v>3.3345418588204223E-2</v>
      </c>
      <c r="AB9" s="22">
        <f t="shared" si="13"/>
        <v>169168525.84</v>
      </c>
      <c r="AC9" s="10">
        <f t="shared" si="14"/>
        <v>3.8928237870584415E-2</v>
      </c>
    </row>
    <row r="10" spans="2:30">
      <c r="B10" s="9">
        <f t="shared" si="0"/>
        <v>4</v>
      </c>
      <c r="C10" s="9" t="s">
        <v>236</v>
      </c>
      <c r="D10" s="22">
        <v>12314009.689999999</v>
      </c>
      <c r="E10" s="10">
        <f t="shared" si="1"/>
        <v>3.5304669793018786E-2</v>
      </c>
      <c r="F10" s="22">
        <v>12617769.130000001</v>
      </c>
      <c r="G10" s="10">
        <f t="shared" si="2"/>
        <v>3.8355731424173152E-2</v>
      </c>
      <c r="H10" s="22">
        <v>12991422.060000001</v>
      </c>
      <c r="I10" s="10">
        <f t="shared" si="3"/>
        <v>3.8524660941573877E-2</v>
      </c>
      <c r="J10" s="22">
        <v>12918517.060000001</v>
      </c>
      <c r="K10" s="10">
        <f t="shared" si="4"/>
        <v>3.7763117600747485E-2</v>
      </c>
      <c r="L10" s="22">
        <v>13534176.76</v>
      </c>
      <c r="M10" s="10">
        <f t="shared" si="5"/>
        <v>3.8657887663849415E-2</v>
      </c>
      <c r="N10" s="22">
        <v>13427560.59</v>
      </c>
      <c r="O10" s="10">
        <f t="shared" si="6"/>
        <v>3.8593184646468659E-2</v>
      </c>
      <c r="P10" s="22">
        <v>14127378.4</v>
      </c>
      <c r="Q10" s="10">
        <f t="shared" si="7"/>
        <v>3.8138290092481271E-2</v>
      </c>
      <c r="R10" s="22">
        <v>13459132.699999999</v>
      </c>
      <c r="S10" s="10">
        <f t="shared" si="8"/>
        <v>3.5455192242917731E-2</v>
      </c>
      <c r="T10" s="22">
        <v>13346415.289999999</v>
      </c>
      <c r="U10" s="10">
        <f t="shared" si="9"/>
        <v>3.6818871378062903E-2</v>
      </c>
      <c r="V10" s="22">
        <v>13787246.380000001</v>
      </c>
      <c r="W10" s="10">
        <f t="shared" si="10"/>
        <v>3.6743382976950782E-2</v>
      </c>
      <c r="X10" s="22">
        <v>13358618.42</v>
      </c>
      <c r="Y10" s="10">
        <f t="shared" si="11"/>
        <v>3.6246904639126568E-2</v>
      </c>
      <c r="Z10" s="22">
        <v>13508492.16</v>
      </c>
      <c r="AA10" s="10">
        <f t="shared" si="12"/>
        <v>3.1107772754104288E-2</v>
      </c>
      <c r="AB10" s="22">
        <f t="shared" si="13"/>
        <v>159390738.63999999</v>
      </c>
      <c r="AC10" s="10">
        <f t="shared" si="14"/>
        <v>3.6678221065865317E-2</v>
      </c>
    </row>
    <row r="11" spans="2:30">
      <c r="B11" s="9">
        <f t="shared" si="0"/>
        <v>5</v>
      </c>
      <c r="C11" s="9" t="s">
        <v>237</v>
      </c>
      <c r="D11" s="22">
        <v>10189243.039999999</v>
      </c>
      <c r="E11" s="10">
        <f t="shared" si="1"/>
        <v>2.9212894095750456E-2</v>
      </c>
      <c r="F11" s="22">
        <v>10957795.189999999</v>
      </c>
      <c r="G11" s="10">
        <f t="shared" si="2"/>
        <v>3.3309711485324689E-2</v>
      </c>
      <c r="H11" s="22">
        <v>11216204.550000001</v>
      </c>
      <c r="I11" s="10">
        <f t="shared" si="3"/>
        <v>3.3260444880049429E-2</v>
      </c>
      <c r="J11" s="22">
        <v>10850936.77</v>
      </c>
      <c r="K11" s="10">
        <f t="shared" si="4"/>
        <v>3.1719213546000075E-2</v>
      </c>
      <c r="L11" s="22">
        <v>11008657.310000001</v>
      </c>
      <c r="M11" s="10">
        <f t="shared" si="5"/>
        <v>3.1444205670311837E-2</v>
      </c>
      <c r="N11" s="22">
        <v>11912310.130000001</v>
      </c>
      <c r="O11" s="10">
        <f t="shared" si="6"/>
        <v>3.4238086756835789E-2</v>
      </c>
      <c r="P11" s="22">
        <v>12662523.359999999</v>
      </c>
      <c r="Q11" s="10">
        <f t="shared" si="7"/>
        <v>3.4183765418678153E-2</v>
      </c>
      <c r="R11" s="22">
        <v>12635665.029999999</v>
      </c>
      <c r="S11" s="10">
        <f t="shared" si="8"/>
        <v>3.3285943659338672E-2</v>
      </c>
      <c r="T11" s="22">
        <v>11726790.77</v>
      </c>
      <c r="U11" s="10">
        <f t="shared" si="9"/>
        <v>3.2350799196364979E-2</v>
      </c>
      <c r="V11" s="22">
        <v>12169923.74</v>
      </c>
      <c r="W11" s="10">
        <f t="shared" si="10"/>
        <v>3.2433174577032924E-2</v>
      </c>
      <c r="X11" s="22">
        <v>11586425.949999999</v>
      </c>
      <c r="Y11" s="10">
        <f t="shared" si="11"/>
        <v>3.1438286753455405E-2</v>
      </c>
      <c r="Z11" s="22">
        <v>13838733.68</v>
      </c>
      <c r="AA11" s="10">
        <f t="shared" si="12"/>
        <v>3.1868263120938094E-2</v>
      </c>
      <c r="AB11" s="22">
        <f t="shared" si="13"/>
        <v>140755209.51999998</v>
      </c>
      <c r="AC11" s="10">
        <f t="shared" si="14"/>
        <v>3.2389903798658692E-2</v>
      </c>
    </row>
    <row r="12" spans="2:30">
      <c r="B12" s="9">
        <f t="shared" si="0"/>
        <v>6</v>
      </c>
      <c r="C12" s="9" t="s">
        <v>238</v>
      </c>
      <c r="D12" s="22">
        <v>12153972.109999999</v>
      </c>
      <c r="E12" s="10">
        <f t="shared" si="1"/>
        <v>3.4845836800467052E-2</v>
      </c>
      <c r="F12" s="22">
        <v>10389375.82</v>
      </c>
      <c r="G12" s="10">
        <f t="shared" si="2"/>
        <v>3.1581819615740477E-2</v>
      </c>
      <c r="H12" s="22">
        <v>10506385.5</v>
      </c>
      <c r="I12" s="10">
        <f t="shared" si="3"/>
        <v>3.1155553044126726E-2</v>
      </c>
      <c r="J12" s="22">
        <v>11062155.91</v>
      </c>
      <c r="K12" s="10">
        <f t="shared" si="4"/>
        <v>3.2336644570497924E-2</v>
      </c>
      <c r="L12" s="22">
        <v>11344418.970000001</v>
      </c>
      <c r="M12" s="10">
        <f t="shared" si="5"/>
        <v>3.2403247122501914E-2</v>
      </c>
      <c r="N12" s="22">
        <v>10994385.460000001</v>
      </c>
      <c r="O12" s="10">
        <f t="shared" si="6"/>
        <v>3.1599808862395183E-2</v>
      </c>
      <c r="P12" s="22">
        <v>11536859.15</v>
      </c>
      <c r="Q12" s="10">
        <f t="shared" si="7"/>
        <v>3.1144920774458545E-2</v>
      </c>
      <c r="R12" s="22">
        <v>11951631.939999999</v>
      </c>
      <c r="S12" s="10">
        <f t="shared" si="8"/>
        <v>3.1484005507226763E-2</v>
      </c>
      <c r="T12" s="22">
        <v>10683753.529999999</v>
      </c>
      <c r="U12" s="10">
        <f t="shared" si="9"/>
        <v>2.9473363334552399E-2</v>
      </c>
      <c r="V12" s="22">
        <v>10884966.949999999</v>
      </c>
      <c r="W12" s="10">
        <f t="shared" si="10"/>
        <v>2.9008730119995274E-2</v>
      </c>
      <c r="X12" s="22">
        <v>11289456.640000001</v>
      </c>
      <c r="Y12" s="10">
        <f t="shared" si="11"/>
        <v>3.0632498465932995E-2</v>
      </c>
      <c r="Z12" s="22">
        <v>13541640.75</v>
      </c>
      <c r="AA12" s="10">
        <f t="shared" si="12"/>
        <v>3.1184108350455479E-2</v>
      </c>
      <c r="AB12" s="22">
        <f t="shared" si="13"/>
        <v>136339002.73000002</v>
      </c>
      <c r="AC12" s="10">
        <f t="shared" si="14"/>
        <v>3.1373667784582372E-2</v>
      </c>
    </row>
    <row r="13" spans="2:30">
      <c r="B13" s="9">
        <f t="shared" si="0"/>
        <v>7</v>
      </c>
      <c r="C13" s="9" t="s">
        <v>239</v>
      </c>
      <c r="D13" s="22">
        <v>10672571.689999999</v>
      </c>
      <c r="E13" s="10">
        <f t="shared" si="1"/>
        <v>3.0598613192886849E-2</v>
      </c>
      <c r="F13" s="22">
        <v>9881591.5</v>
      </c>
      <c r="G13" s="10">
        <f t="shared" si="2"/>
        <v>3.0038247309204989E-2</v>
      </c>
      <c r="H13" s="22">
        <v>10403046.75</v>
      </c>
      <c r="I13" s="10">
        <f t="shared" si="3"/>
        <v>3.0849113126503413E-2</v>
      </c>
      <c r="J13" s="22">
        <v>10223368.58</v>
      </c>
      <c r="K13" s="10">
        <f t="shared" si="4"/>
        <v>2.9884720372256628E-2</v>
      </c>
      <c r="L13" s="22">
        <v>10026710.82</v>
      </c>
      <c r="M13" s="10">
        <f t="shared" si="5"/>
        <v>2.8639456051958896E-2</v>
      </c>
      <c r="N13" s="22">
        <v>9925307.7400000002</v>
      </c>
      <c r="O13" s="10">
        <f t="shared" si="6"/>
        <v>2.8527090361306243E-2</v>
      </c>
      <c r="P13" s="22">
        <v>11011253.33</v>
      </c>
      <c r="Q13" s="10">
        <f t="shared" si="7"/>
        <v>2.9725994582359343E-2</v>
      </c>
      <c r="R13" s="22">
        <v>11465858.279999999</v>
      </c>
      <c r="S13" s="10">
        <f t="shared" si="8"/>
        <v>3.0204339210315536E-2</v>
      </c>
      <c r="T13" s="22">
        <v>10244079.67</v>
      </c>
      <c r="U13" s="10">
        <f t="shared" si="9"/>
        <v>2.8260431251450974E-2</v>
      </c>
      <c r="V13" s="22">
        <v>11024568.02</v>
      </c>
      <c r="W13" s="10">
        <f t="shared" si="10"/>
        <v>2.9380770731849644E-2</v>
      </c>
      <c r="X13" s="22">
        <v>11104801.300000001</v>
      </c>
      <c r="Y13" s="10">
        <f t="shared" si="11"/>
        <v>3.0131459788904486E-2</v>
      </c>
      <c r="Z13" s="22">
        <v>13760346.15</v>
      </c>
      <c r="AA13" s="10">
        <f t="shared" si="12"/>
        <v>3.1687749897025802E-2</v>
      </c>
      <c r="AB13" s="22">
        <f t="shared" si="13"/>
        <v>129743503.83</v>
      </c>
      <c r="AC13" s="10">
        <f t="shared" si="14"/>
        <v>2.9855943676155638E-2</v>
      </c>
    </row>
    <row r="14" spans="2:30">
      <c r="B14" s="9">
        <f t="shared" si="0"/>
        <v>8</v>
      </c>
      <c r="C14" s="9" t="s">
        <v>240</v>
      </c>
      <c r="D14" s="22">
        <v>9486653.5399999991</v>
      </c>
      <c r="E14" s="10">
        <f t="shared" si="1"/>
        <v>2.7198546947909113E-2</v>
      </c>
      <c r="F14" s="22">
        <v>8509185.5800000001</v>
      </c>
      <c r="G14" s="10">
        <f t="shared" si="2"/>
        <v>2.5866382034914204E-2</v>
      </c>
      <c r="H14" s="22">
        <v>9443319.9199999999</v>
      </c>
      <c r="I14" s="10">
        <f t="shared" si="3"/>
        <v>2.8003146722554443E-2</v>
      </c>
      <c r="J14" s="22">
        <v>9873089.0999999996</v>
      </c>
      <c r="K14" s="10">
        <f t="shared" si="4"/>
        <v>2.8860791299365914E-2</v>
      </c>
      <c r="L14" s="22">
        <v>10015161.609999999</v>
      </c>
      <c r="M14" s="10">
        <f t="shared" si="5"/>
        <v>2.8606467856909915E-2</v>
      </c>
      <c r="N14" s="22">
        <v>10813548.560000001</v>
      </c>
      <c r="O14" s="10">
        <f t="shared" si="6"/>
        <v>3.1080051619386165E-2</v>
      </c>
      <c r="P14" s="22">
        <v>10673975.41</v>
      </c>
      <c r="Q14" s="10">
        <f t="shared" si="7"/>
        <v>2.8815478647233779E-2</v>
      </c>
      <c r="R14" s="22">
        <v>11634946.550000001</v>
      </c>
      <c r="S14" s="10">
        <f t="shared" si="8"/>
        <v>3.0649765914435367E-2</v>
      </c>
      <c r="T14" s="22">
        <v>9823612.9000000004</v>
      </c>
      <c r="U14" s="10">
        <f t="shared" si="9"/>
        <v>2.7100485933776123E-2</v>
      </c>
      <c r="V14" s="22">
        <v>10737249.93</v>
      </c>
      <c r="W14" s="10">
        <f t="shared" si="10"/>
        <v>2.86150602827791E-2</v>
      </c>
      <c r="X14" s="22">
        <v>11365924.49</v>
      </c>
      <c r="Y14" s="10">
        <f t="shared" si="11"/>
        <v>3.0839984208826835E-2</v>
      </c>
      <c r="Z14" s="22">
        <v>15163082.91</v>
      </c>
      <c r="AA14" s="10">
        <f t="shared" si="12"/>
        <v>3.4918015410531383E-2</v>
      </c>
      <c r="AB14" s="22">
        <f t="shared" si="13"/>
        <v>127539750.49999999</v>
      </c>
      <c r="AC14" s="10">
        <f t="shared" si="14"/>
        <v>2.9348826684904725E-2</v>
      </c>
    </row>
    <row r="15" spans="2:30">
      <c r="B15" s="9">
        <f t="shared" si="0"/>
        <v>9</v>
      </c>
      <c r="C15" s="9" t="s">
        <v>241</v>
      </c>
      <c r="D15" s="22">
        <v>10931529.83</v>
      </c>
      <c r="E15" s="10">
        <f t="shared" si="1"/>
        <v>3.1341054676454851E-2</v>
      </c>
      <c r="F15" s="22">
        <v>9338428.7400000002</v>
      </c>
      <c r="G15" s="10">
        <f t="shared" si="2"/>
        <v>2.8387130956739868E-2</v>
      </c>
      <c r="H15" s="22">
        <v>8746298.7300000004</v>
      </c>
      <c r="I15" s="10">
        <f t="shared" si="3"/>
        <v>2.5936205560160838E-2</v>
      </c>
      <c r="J15" s="22">
        <v>10522433.439999999</v>
      </c>
      <c r="K15" s="10">
        <f t="shared" si="4"/>
        <v>3.0758940023473395E-2</v>
      </c>
      <c r="L15" s="22">
        <v>9971056.3300000001</v>
      </c>
      <c r="M15" s="10">
        <f t="shared" si="5"/>
        <v>2.8480489233321835E-2</v>
      </c>
      <c r="N15" s="22">
        <v>9691320.3499999996</v>
      </c>
      <c r="O15" s="10">
        <f t="shared" si="6"/>
        <v>2.7854569207021489E-2</v>
      </c>
      <c r="P15" s="22">
        <v>11216681.359999999</v>
      </c>
      <c r="Q15" s="10">
        <f t="shared" si="7"/>
        <v>3.0280568373719452E-2</v>
      </c>
      <c r="R15" s="22">
        <v>12048699.300000001</v>
      </c>
      <c r="S15" s="10">
        <f t="shared" si="8"/>
        <v>3.1739708603854416E-2</v>
      </c>
      <c r="T15" s="22">
        <v>10566330.119999999</v>
      </c>
      <c r="U15" s="10">
        <f t="shared" si="9"/>
        <v>2.9149426357047818E-2</v>
      </c>
      <c r="V15" s="22">
        <v>10172731.76</v>
      </c>
      <c r="W15" s="10">
        <f t="shared" si="10"/>
        <v>2.7110604153827454E-2</v>
      </c>
      <c r="X15" s="22">
        <v>10346159.960000001</v>
      </c>
      <c r="Y15" s="10">
        <f t="shared" si="11"/>
        <v>2.8072983422433109E-2</v>
      </c>
      <c r="Z15" s="22">
        <v>11832217.85</v>
      </c>
      <c r="AA15" s="10">
        <f t="shared" si="12"/>
        <v>2.7247596526336244E-2</v>
      </c>
      <c r="AB15" s="22">
        <f t="shared" si="13"/>
        <v>125383887.77000001</v>
      </c>
      <c r="AC15" s="10">
        <f t="shared" si="14"/>
        <v>2.8852730045455719E-2</v>
      </c>
    </row>
    <row r="16" spans="2:30">
      <c r="B16" s="9">
        <f t="shared" si="0"/>
        <v>10</v>
      </c>
      <c r="C16" s="9" t="s">
        <v>242</v>
      </c>
      <c r="D16" s="22">
        <v>11735148.890000001</v>
      </c>
      <c r="E16" s="10">
        <f t="shared" si="1"/>
        <v>3.3645056887506887E-2</v>
      </c>
      <c r="F16" s="22">
        <v>10501308.75</v>
      </c>
      <c r="G16" s="10">
        <f t="shared" si="2"/>
        <v>3.1922075437222669E-2</v>
      </c>
      <c r="H16" s="22">
        <v>11017043.99</v>
      </c>
      <c r="I16" s="10">
        <f t="shared" si="3"/>
        <v>3.2669855719640456E-2</v>
      </c>
      <c r="J16" s="22">
        <v>10096941.35</v>
      </c>
      <c r="K16" s="10">
        <f t="shared" si="4"/>
        <v>2.9515151145986105E-2</v>
      </c>
      <c r="L16" s="22">
        <v>10602863.18</v>
      </c>
      <c r="M16" s="10">
        <f t="shared" si="5"/>
        <v>3.0285129342998558E-2</v>
      </c>
      <c r="N16" s="22">
        <v>10493260.630000001</v>
      </c>
      <c r="O16" s="10">
        <f t="shared" si="6"/>
        <v>3.0159487445448951E-2</v>
      </c>
      <c r="P16" s="22">
        <v>10261426.029999999</v>
      </c>
      <c r="Q16" s="10">
        <f t="shared" si="7"/>
        <v>2.7701759775520588E-2</v>
      </c>
      <c r="R16" s="22">
        <v>9717069.5700000003</v>
      </c>
      <c r="S16" s="10">
        <f t="shared" si="8"/>
        <v>2.5597531231871719E-2</v>
      </c>
      <c r="T16" s="22">
        <v>9867408.1500000004</v>
      </c>
      <c r="U16" s="10">
        <f t="shared" si="9"/>
        <v>2.7221304269013171E-2</v>
      </c>
      <c r="V16" s="22">
        <v>10470269.08</v>
      </c>
      <c r="W16" s="10">
        <f t="shared" si="10"/>
        <v>2.7903549126113904E-2</v>
      </c>
      <c r="X16" s="22">
        <v>10047915.16</v>
      </c>
      <c r="Y16" s="10">
        <f t="shared" si="11"/>
        <v>2.7263734255728082E-2</v>
      </c>
      <c r="Z16" s="22">
        <v>10352008.119999999</v>
      </c>
      <c r="AA16" s="10">
        <f t="shared" si="12"/>
        <v>2.3838923865918897E-2</v>
      </c>
      <c r="AB16" s="22">
        <f t="shared" si="13"/>
        <v>125162662.90000002</v>
      </c>
      <c r="AC16" s="10">
        <f t="shared" si="14"/>
        <v>2.8801822855010647E-2</v>
      </c>
    </row>
    <row r="17" spans="2:29">
      <c r="B17" s="9">
        <f t="shared" si="0"/>
        <v>11</v>
      </c>
      <c r="C17" s="9" t="s">
        <v>243</v>
      </c>
      <c r="D17" s="22">
        <v>9722190.7599999998</v>
      </c>
      <c r="E17" s="10">
        <f t="shared" si="1"/>
        <v>2.7873839885417404E-2</v>
      </c>
      <c r="F17" s="22">
        <v>9399090.1600000001</v>
      </c>
      <c r="G17" s="10">
        <f t="shared" si="2"/>
        <v>2.8571530679809533E-2</v>
      </c>
      <c r="H17" s="22">
        <v>10692452.73</v>
      </c>
      <c r="I17" s="10">
        <f t="shared" si="3"/>
        <v>3.1707315346589236E-2</v>
      </c>
      <c r="J17" s="22">
        <v>10007120.98</v>
      </c>
      <c r="K17" s="10">
        <f t="shared" si="4"/>
        <v>2.9252590266939466E-2</v>
      </c>
      <c r="L17" s="22">
        <v>10310329.039999999</v>
      </c>
      <c r="M17" s="10">
        <f t="shared" si="5"/>
        <v>2.9449559354332262E-2</v>
      </c>
      <c r="N17" s="22">
        <v>9921227.5099999998</v>
      </c>
      <c r="O17" s="10">
        <f t="shared" si="6"/>
        <v>2.8515363058440275E-2</v>
      </c>
      <c r="P17" s="22">
        <v>10473007.41</v>
      </c>
      <c r="Q17" s="10">
        <f t="shared" si="7"/>
        <v>2.8272945158974855E-2</v>
      </c>
      <c r="R17" s="22">
        <v>10253537.550000001</v>
      </c>
      <c r="S17" s="10">
        <f t="shared" si="8"/>
        <v>2.7010740818776958E-2</v>
      </c>
      <c r="T17" s="22">
        <v>10169570.560000001</v>
      </c>
      <c r="U17" s="10">
        <f t="shared" si="9"/>
        <v>2.8054882324793536E-2</v>
      </c>
      <c r="V17" s="22">
        <v>10427163.59</v>
      </c>
      <c r="W17" s="10">
        <f t="shared" si="10"/>
        <v>2.7788671834171354E-2</v>
      </c>
      <c r="X17" s="22">
        <v>10475768.300000001</v>
      </c>
      <c r="Y17" s="10">
        <f t="shared" si="11"/>
        <v>2.8424659096721549E-2</v>
      </c>
      <c r="Z17" s="22">
        <v>11863735.369999999</v>
      </c>
      <c r="AA17" s="10">
        <f t="shared" si="12"/>
        <v>2.7320176044340193E-2</v>
      </c>
      <c r="AB17" s="22">
        <f t="shared" si="13"/>
        <v>123715193.96000001</v>
      </c>
      <c r="AC17" s="10">
        <f t="shared" si="14"/>
        <v>2.8468738346962758E-2</v>
      </c>
    </row>
    <row r="18" spans="2:29">
      <c r="B18" s="9">
        <f t="shared" si="0"/>
        <v>12</v>
      </c>
      <c r="C18" s="9" t="s">
        <v>244</v>
      </c>
      <c r="D18" s="22">
        <v>9209808.6300000008</v>
      </c>
      <c r="E18" s="10">
        <f t="shared" si="1"/>
        <v>2.6404823507901982E-2</v>
      </c>
      <c r="F18" s="22">
        <v>8592004.8100000005</v>
      </c>
      <c r="G18" s="10">
        <f t="shared" si="2"/>
        <v>2.6118137484701612E-2</v>
      </c>
      <c r="H18" s="22">
        <v>7833659.7599999998</v>
      </c>
      <c r="I18" s="10">
        <f t="shared" si="3"/>
        <v>2.3229873126425927E-2</v>
      </c>
      <c r="J18" s="22">
        <v>9120905.3100000005</v>
      </c>
      <c r="K18" s="10">
        <f t="shared" si="4"/>
        <v>2.6662024615293746E-2</v>
      </c>
      <c r="L18" s="22">
        <v>8291412.0599999996</v>
      </c>
      <c r="M18" s="10">
        <f t="shared" si="5"/>
        <v>2.3682894177759078E-2</v>
      </c>
      <c r="N18" s="22">
        <v>10139098.529999999</v>
      </c>
      <c r="O18" s="10">
        <f t="shared" si="6"/>
        <v>2.9141562914148725E-2</v>
      </c>
      <c r="P18" s="22">
        <v>12323581</v>
      </c>
      <c r="Q18" s="10">
        <f t="shared" si="7"/>
        <v>3.3268756159047203E-2</v>
      </c>
      <c r="R18" s="22">
        <v>14307741.58</v>
      </c>
      <c r="S18" s="10">
        <f t="shared" si="8"/>
        <v>3.7690669940484908E-2</v>
      </c>
      <c r="T18" s="22">
        <v>9473309.1699999999</v>
      </c>
      <c r="U18" s="10">
        <f t="shared" si="9"/>
        <v>2.6134100001833065E-2</v>
      </c>
      <c r="V18" s="22">
        <v>9875851.5</v>
      </c>
      <c r="W18" s="10">
        <f t="shared" si="10"/>
        <v>2.6319410264139621E-2</v>
      </c>
      <c r="X18" s="22">
        <v>8423071.75</v>
      </c>
      <c r="Y18" s="10">
        <f t="shared" si="11"/>
        <v>2.2854929221847699E-2</v>
      </c>
      <c r="Z18" s="22">
        <v>13236028.43</v>
      </c>
      <c r="AA18" s="10">
        <f t="shared" si="12"/>
        <v>3.0480334865686722E-2</v>
      </c>
      <c r="AB18" s="22">
        <f t="shared" si="13"/>
        <v>120826472.53</v>
      </c>
      <c r="AC18" s="10">
        <f t="shared" si="14"/>
        <v>2.7803999830087266E-2</v>
      </c>
    </row>
    <row r="19" spans="2:29">
      <c r="B19" s="9">
        <f t="shared" si="0"/>
        <v>13</v>
      </c>
      <c r="C19" s="9" t="s">
        <v>245</v>
      </c>
      <c r="D19" s="22">
        <v>10139044.85</v>
      </c>
      <c r="E19" s="10">
        <f t="shared" si="1"/>
        <v>2.9068974238062154E-2</v>
      </c>
      <c r="F19" s="22">
        <v>9470098.3599999994</v>
      </c>
      <c r="G19" s="10">
        <f t="shared" si="2"/>
        <v>2.878738273892182E-2</v>
      </c>
      <c r="H19" s="22">
        <v>9667140.3100000005</v>
      </c>
      <c r="I19" s="10">
        <f t="shared" si="3"/>
        <v>2.8666861949166123E-2</v>
      </c>
      <c r="J19" s="22">
        <v>9936737.4600000009</v>
      </c>
      <c r="K19" s="10">
        <f t="shared" si="4"/>
        <v>2.9046846749276413E-2</v>
      </c>
      <c r="L19" s="22">
        <v>9837885.2100000009</v>
      </c>
      <c r="M19" s="10">
        <f t="shared" si="5"/>
        <v>2.8100110412480353E-2</v>
      </c>
      <c r="N19" s="22">
        <v>9743633.3200000003</v>
      </c>
      <c r="O19" s="10">
        <f t="shared" si="6"/>
        <v>2.8004925937648997E-2</v>
      </c>
      <c r="P19" s="22">
        <v>9984240.4000000004</v>
      </c>
      <c r="Q19" s="10">
        <f t="shared" si="7"/>
        <v>2.6953469068845163E-2</v>
      </c>
      <c r="R19" s="22">
        <v>10722566.130000001</v>
      </c>
      <c r="S19" s="10">
        <f t="shared" si="8"/>
        <v>2.8246295801552534E-2</v>
      </c>
      <c r="T19" s="22">
        <v>9292897.1799999997</v>
      </c>
      <c r="U19" s="10">
        <f t="shared" si="9"/>
        <v>2.5636395883495956E-2</v>
      </c>
      <c r="V19" s="22">
        <v>10370327.109999999</v>
      </c>
      <c r="W19" s="10">
        <f t="shared" si="10"/>
        <v>2.7637201084019878E-2</v>
      </c>
      <c r="X19" s="22">
        <v>9770514.0600000005</v>
      </c>
      <c r="Y19" s="10">
        <f t="shared" si="11"/>
        <v>2.6511041806377561E-2</v>
      </c>
      <c r="Z19" s="22">
        <v>11545978.939999999</v>
      </c>
      <c r="AA19" s="10">
        <f t="shared" si="12"/>
        <v>2.6588436728173952E-2</v>
      </c>
      <c r="AB19" s="22">
        <f t="shared" si="13"/>
        <v>120481063.33</v>
      </c>
      <c r="AC19" s="10">
        <f t="shared" si="14"/>
        <v>2.7724515945992859E-2</v>
      </c>
    </row>
    <row r="20" spans="2:29">
      <c r="B20" s="9">
        <f t="shared" si="0"/>
        <v>14</v>
      </c>
      <c r="C20" s="9" t="s">
        <v>246</v>
      </c>
      <c r="D20" s="22">
        <v>8254704.9900000002</v>
      </c>
      <c r="E20" s="10">
        <f t="shared" si="1"/>
        <v>2.3666510035914589E-2</v>
      </c>
      <c r="F20" s="22">
        <v>8293316.75</v>
      </c>
      <c r="G20" s="10">
        <f t="shared" si="2"/>
        <v>2.521017991384001E-2</v>
      </c>
      <c r="H20" s="22">
        <v>8156488.96</v>
      </c>
      <c r="I20" s="10">
        <f t="shared" si="3"/>
        <v>2.4187188300592438E-2</v>
      </c>
      <c r="J20" s="22">
        <v>7646993.9100000001</v>
      </c>
      <c r="K20" s="10">
        <f t="shared" si="4"/>
        <v>2.2353520065369625E-2</v>
      </c>
      <c r="L20" s="22">
        <v>8642796.9800000004</v>
      </c>
      <c r="M20" s="10">
        <f t="shared" si="5"/>
        <v>2.4686560599811242E-2</v>
      </c>
      <c r="N20" s="22">
        <v>9033122.4299999997</v>
      </c>
      <c r="O20" s="10">
        <f t="shared" si="6"/>
        <v>2.5962791941134534E-2</v>
      </c>
      <c r="P20" s="22">
        <v>10154303.51</v>
      </c>
      <c r="Q20" s="10">
        <f t="shared" si="7"/>
        <v>2.7412571673699971E-2</v>
      </c>
      <c r="R20" s="22">
        <v>11322560.52</v>
      </c>
      <c r="S20" s="10">
        <f t="shared" si="8"/>
        <v>2.9826852061475739E-2</v>
      </c>
      <c r="T20" s="22">
        <v>13695140.25</v>
      </c>
      <c r="U20" s="10">
        <f t="shared" si="9"/>
        <v>3.7780901943542194E-2</v>
      </c>
      <c r="V20" s="22">
        <v>10014448.57</v>
      </c>
      <c r="W20" s="10">
        <f t="shared" si="10"/>
        <v>2.6688775188950173E-2</v>
      </c>
      <c r="X20" s="22">
        <v>11199882.890000001</v>
      </c>
      <c r="Y20" s="10">
        <f t="shared" si="11"/>
        <v>3.038945153755019E-2</v>
      </c>
      <c r="Z20" s="22">
        <v>12469611.300000001</v>
      </c>
      <c r="AA20" s="10">
        <f t="shared" si="12"/>
        <v>2.8715405839374673E-2</v>
      </c>
      <c r="AB20" s="22">
        <f t="shared" si="13"/>
        <v>118883371.06</v>
      </c>
      <c r="AC20" s="10">
        <f t="shared" si="14"/>
        <v>2.7356862776340137E-2</v>
      </c>
    </row>
    <row r="21" spans="2:29">
      <c r="B21" s="9">
        <f t="shared" si="0"/>
        <v>15</v>
      </c>
      <c r="C21" s="9" t="s">
        <v>247</v>
      </c>
      <c r="D21" s="22">
        <v>10489780.210000001</v>
      </c>
      <c r="E21" s="10">
        <f t="shared" si="1"/>
        <v>3.0074544022499736E-2</v>
      </c>
      <c r="F21" s="22">
        <v>9440500.6699999999</v>
      </c>
      <c r="G21" s="10">
        <f t="shared" si="2"/>
        <v>2.8697411125341032E-2</v>
      </c>
      <c r="H21" s="22">
        <v>9218189.5299999993</v>
      </c>
      <c r="I21" s="10">
        <f t="shared" si="3"/>
        <v>2.733554683223156E-2</v>
      </c>
      <c r="J21" s="22">
        <v>9508307.6500000004</v>
      </c>
      <c r="K21" s="10">
        <f t="shared" si="4"/>
        <v>2.7794470394966291E-2</v>
      </c>
      <c r="L21" s="22">
        <v>10155178.83</v>
      </c>
      <c r="M21" s="10">
        <f t="shared" si="5"/>
        <v>2.9006401303749613E-2</v>
      </c>
      <c r="N21" s="22">
        <v>9005776.4399999995</v>
      </c>
      <c r="O21" s="10">
        <f t="shared" si="6"/>
        <v>2.5884194728011813E-2</v>
      </c>
      <c r="P21" s="22">
        <v>9878234.1300000008</v>
      </c>
      <c r="Q21" s="10">
        <f t="shared" si="7"/>
        <v>2.6667294397054543E-2</v>
      </c>
      <c r="R21" s="22">
        <v>9865464.9700000007</v>
      </c>
      <c r="S21" s="10">
        <f t="shared" si="8"/>
        <v>2.5988447017623997E-2</v>
      </c>
      <c r="T21" s="22">
        <v>9708478.4900000002</v>
      </c>
      <c r="U21" s="10">
        <f t="shared" si="9"/>
        <v>2.6782863640383573E-2</v>
      </c>
      <c r="V21" s="22">
        <v>9330723.4000000004</v>
      </c>
      <c r="W21" s="10">
        <f t="shared" si="10"/>
        <v>2.4866629194030283E-2</v>
      </c>
      <c r="X21" s="22">
        <v>9015950.0500000007</v>
      </c>
      <c r="Y21" s="10">
        <f t="shared" si="11"/>
        <v>2.4463628754018894E-2</v>
      </c>
      <c r="Z21" s="22">
        <v>9527105.4900000002</v>
      </c>
      <c r="AA21" s="10">
        <f t="shared" si="12"/>
        <v>2.1939312624755552E-2</v>
      </c>
      <c r="AB21" s="22">
        <f t="shared" si="13"/>
        <v>115143689.85999998</v>
      </c>
      <c r="AC21" s="10">
        <f t="shared" si="14"/>
        <v>2.6496305538574513E-2</v>
      </c>
    </row>
    <row r="22" spans="2:29">
      <c r="B22" s="9">
        <f t="shared" si="0"/>
        <v>16</v>
      </c>
      <c r="C22" s="9" t="s">
        <v>248</v>
      </c>
      <c r="D22" s="22">
        <v>8784675.8599999994</v>
      </c>
      <c r="E22" s="10">
        <f t="shared" si="1"/>
        <v>2.5185953908081045E-2</v>
      </c>
      <c r="F22" s="22">
        <v>8580827.1099999994</v>
      </c>
      <c r="G22" s="10">
        <f t="shared" si="2"/>
        <v>2.6084159302447455E-2</v>
      </c>
      <c r="H22" s="22">
        <v>8373347.2599999998</v>
      </c>
      <c r="I22" s="10">
        <f t="shared" si="3"/>
        <v>2.4830258200198647E-2</v>
      </c>
      <c r="J22" s="22">
        <v>9010215.2200000007</v>
      </c>
      <c r="K22" s="10">
        <f t="shared" si="4"/>
        <v>2.6338457841608091E-2</v>
      </c>
      <c r="L22" s="22">
        <v>8956995.4100000001</v>
      </c>
      <c r="M22" s="10">
        <f t="shared" si="5"/>
        <v>2.5584010649894514E-2</v>
      </c>
      <c r="N22" s="22">
        <v>8859219.9399999995</v>
      </c>
      <c r="O22" s="10">
        <f t="shared" si="6"/>
        <v>2.5462965419253192E-2</v>
      </c>
      <c r="P22" s="22">
        <v>9895347.1099999994</v>
      </c>
      <c r="Q22" s="10">
        <f t="shared" si="7"/>
        <v>2.6713492621318627E-2</v>
      </c>
      <c r="R22" s="22">
        <v>9440318.3300000001</v>
      </c>
      <c r="S22" s="10">
        <f t="shared" si="8"/>
        <v>2.48684895739597E-2</v>
      </c>
      <c r="T22" s="22">
        <v>10575144.52</v>
      </c>
      <c r="U22" s="10">
        <f t="shared" si="9"/>
        <v>2.9173742718619299E-2</v>
      </c>
      <c r="V22" s="22">
        <v>10386111.130000001</v>
      </c>
      <c r="W22" s="10">
        <f t="shared" si="10"/>
        <v>2.7679265922479369E-2</v>
      </c>
      <c r="X22" s="22">
        <v>10399434.08</v>
      </c>
      <c r="Y22" s="10">
        <f t="shared" si="11"/>
        <v>2.8217535941762677E-2</v>
      </c>
      <c r="Z22" s="22">
        <v>10182966.210000001</v>
      </c>
      <c r="AA22" s="10">
        <f t="shared" si="12"/>
        <v>2.3449648937235838E-2</v>
      </c>
      <c r="AB22" s="22">
        <f t="shared" si="13"/>
        <v>113444602.17999998</v>
      </c>
      <c r="AC22" s="10">
        <f t="shared" si="14"/>
        <v>2.6105319750635583E-2</v>
      </c>
    </row>
    <row r="23" spans="2:29">
      <c r="B23" s="9">
        <f t="shared" si="0"/>
        <v>17</v>
      </c>
      <c r="C23" s="9" t="s">
        <v>249</v>
      </c>
      <c r="D23" s="22">
        <v>9694380.4600000009</v>
      </c>
      <c r="E23" s="10">
        <f t="shared" si="1"/>
        <v>2.779410684288601E-2</v>
      </c>
      <c r="F23" s="22">
        <v>8610403.7599999998</v>
      </c>
      <c r="G23" s="10">
        <f t="shared" si="2"/>
        <v>2.6174066958241343E-2</v>
      </c>
      <c r="H23" s="22">
        <v>9182533.9499999993</v>
      </c>
      <c r="I23" s="10">
        <f t="shared" si="3"/>
        <v>2.7229814055339915E-2</v>
      </c>
      <c r="J23" s="22">
        <v>9281399.2300000004</v>
      </c>
      <c r="K23" s="10">
        <f t="shared" si="4"/>
        <v>2.7131176821155754E-2</v>
      </c>
      <c r="L23" s="22">
        <v>9348489.5399999991</v>
      </c>
      <c r="M23" s="10">
        <f t="shared" si="5"/>
        <v>2.6702241656255066E-2</v>
      </c>
      <c r="N23" s="22">
        <v>8881984.0800000001</v>
      </c>
      <c r="O23" s="10">
        <f t="shared" si="6"/>
        <v>2.5528393584886819E-2</v>
      </c>
      <c r="P23" s="22">
        <v>9380578.4000000004</v>
      </c>
      <c r="Q23" s="10">
        <f t="shared" si="7"/>
        <v>2.532382230622943E-2</v>
      </c>
      <c r="R23" s="22">
        <v>9571745.5299999993</v>
      </c>
      <c r="S23" s="10">
        <f t="shared" si="8"/>
        <v>2.5214706283892902E-2</v>
      </c>
      <c r="T23" s="22">
        <v>9217103.4299999997</v>
      </c>
      <c r="U23" s="10">
        <f t="shared" si="9"/>
        <v>2.5427303009351542E-2</v>
      </c>
      <c r="V23" s="22">
        <v>9346363.0600000005</v>
      </c>
      <c r="W23" s="10">
        <f t="shared" si="10"/>
        <v>2.4908309309201279E-2</v>
      </c>
      <c r="X23" s="22">
        <v>8868815.1199999992</v>
      </c>
      <c r="Y23" s="10">
        <f t="shared" si="11"/>
        <v>2.4064396916629933E-2</v>
      </c>
      <c r="Z23" s="22">
        <v>9635903.4299999997</v>
      </c>
      <c r="AA23" s="10">
        <f t="shared" si="12"/>
        <v>2.2189855879587234E-2</v>
      </c>
      <c r="AB23" s="22">
        <f t="shared" si="13"/>
        <v>111019699.99000001</v>
      </c>
      <c r="AC23" s="10">
        <f t="shared" si="14"/>
        <v>2.5547313059990889E-2</v>
      </c>
    </row>
    <row r="24" spans="2:29">
      <c r="B24" s="9">
        <f t="shared" si="0"/>
        <v>18</v>
      </c>
      <c r="C24" s="9" t="s">
        <v>250</v>
      </c>
      <c r="D24" s="22">
        <v>9487325.6199999992</v>
      </c>
      <c r="E24" s="10">
        <f t="shared" si="1"/>
        <v>2.7200473823319464E-2</v>
      </c>
      <c r="F24" s="22">
        <v>8285561.8399999999</v>
      </c>
      <c r="G24" s="10">
        <f t="shared" si="2"/>
        <v>2.5186606392870171E-2</v>
      </c>
      <c r="H24" s="22">
        <v>7290055.4000000004</v>
      </c>
      <c r="I24" s="10">
        <f t="shared" si="3"/>
        <v>2.1617873026772382E-2</v>
      </c>
      <c r="J24" s="22">
        <v>8496190.0600000005</v>
      </c>
      <c r="K24" s="10">
        <f t="shared" si="4"/>
        <v>2.4835871091389947E-2</v>
      </c>
      <c r="L24" s="22">
        <v>8861929.1199999992</v>
      </c>
      <c r="M24" s="10">
        <f t="shared" si="5"/>
        <v>2.5312471270395601E-2</v>
      </c>
      <c r="N24" s="22">
        <v>8736750.7300000004</v>
      </c>
      <c r="O24" s="10">
        <f t="shared" si="6"/>
        <v>2.5110967243310713E-2</v>
      </c>
      <c r="P24" s="22">
        <v>9521962.7100000009</v>
      </c>
      <c r="Q24" s="10">
        <f t="shared" si="7"/>
        <v>2.5705503583295337E-2</v>
      </c>
      <c r="R24" s="22">
        <v>9735654.7100000009</v>
      </c>
      <c r="S24" s="10">
        <f t="shared" si="8"/>
        <v>2.5646489788581809E-2</v>
      </c>
      <c r="T24" s="22">
        <v>9371351.3100000005</v>
      </c>
      <c r="U24" s="10">
        <f t="shared" si="9"/>
        <v>2.5852827970972821E-2</v>
      </c>
      <c r="V24" s="22">
        <v>9397612.1300000008</v>
      </c>
      <c r="W24" s="10">
        <f t="shared" si="10"/>
        <v>2.5044889461199881E-2</v>
      </c>
      <c r="X24" s="22">
        <v>9743264.5600000005</v>
      </c>
      <c r="Y24" s="10">
        <f t="shared" si="11"/>
        <v>2.6437103769006487E-2</v>
      </c>
      <c r="Z24" s="22">
        <v>10529168.74</v>
      </c>
      <c r="AA24" s="10">
        <f t="shared" si="12"/>
        <v>2.4246894810615087E-2</v>
      </c>
      <c r="AB24" s="22">
        <f t="shared" si="13"/>
        <v>109456826.92999999</v>
      </c>
      <c r="AC24" s="10">
        <f t="shared" si="14"/>
        <v>2.5187672317488047E-2</v>
      </c>
    </row>
    <row r="25" spans="2:29">
      <c r="B25" s="9">
        <f t="shared" si="0"/>
        <v>19</v>
      </c>
      <c r="C25" s="9" t="s">
        <v>251</v>
      </c>
      <c r="D25" s="22">
        <v>7817705.29</v>
      </c>
      <c r="E25" s="10">
        <f t="shared" si="1"/>
        <v>2.2413617558440155E-2</v>
      </c>
      <c r="F25" s="22">
        <v>7943301.3099999996</v>
      </c>
      <c r="G25" s="10">
        <f t="shared" si="2"/>
        <v>2.4146196409891255E-2</v>
      </c>
      <c r="H25" s="22">
        <v>7822908.0300000003</v>
      </c>
      <c r="I25" s="10">
        <f t="shared" si="3"/>
        <v>2.3197990030728446E-2</v>
      </c>
      <c r="J25" s="22">
        <v>8193504.9100000001</v>
      </c>
      <c r="K25" s="10">
        <f t="shared" si="4"/>
        <v>2.3951068690126569E-2</v>
      </c>
      <c r="L25" s="22">
        <v>8183819.7000000002</v>
      </c>
      <c r="M25" s="10">
        <f t="shared" si="5"/>
        <v>2.3375576382216379E-2</v>
      </c>
      <c r="N25" s="22">
        <v>7739499.2000000002</v>
      </c>
      <c r="O25" s="10">
        <f t="shared" si="6"/>
        <v>2.2244689919272708E-2</v>
      </c>
      <c r="P25" s="22">
        <v>9306552.0199999996</v>
      </c>
      <c r="Q25" s="10">
        <f t="shared" si="7"/>
        <v>2.5123980589316385E-2</v>
      </c>
      <c r="R25" s="22">
        <v>10091518.949999999</v>
      </c>
      <c r="S25" s="10">
        <f t="shared" si="8"/>
        <v>2.6583937640743915E-2</v>
      </c>
      <c r="T25" s="22">
        <v>8276284.8600000003</v>
      </c>
      <c r="U25" s="10">
        <f t="shared" si="9"/>
        <v>2.2831858677203606E-2</v>
      </c>
      <c r="V25" s="22">
        <v>9358989.3100000005</v>
      </c>
      <c r="W25" s="10">
        <f t="shared" si="10"/>
        <v>2.4941958605552848E-2</v>
      </c>
      <c r="X25" s="22">
        <v>8685436.9900000002</v>
      </c>
      <c r="Y25" s="10">
        <f t="shared" si="11"/>
        <v>2.3566823785784317E-2</v>
      </c>
      <c r="Z25" s="22">
        <v>15441827.130000001</v>
      </c>
      <c r="AA25" s="10">
        <f t="shared" si="12"/>
        <v>3.5559916205200097E-2</v>
      </c>
      <c r="AB25" s="22">
        <f t="shared" si="13"/>
        <v>108861347.7</v>
      </c>
      <c r="AC25" s="10">
        <f t="shared" si="14"/>
        <v>2.5050643535110665E-2</v>
      </c>
    </row>
    <row r="26" spans="2:29">
      <c r="B26" s="9">
        <f t="shared" si="0"/>
        <v>20</v>
      </c>
      <c r="C26" s="9" t="s">
        <v>252</v>
      </c>
      <c r="D26" s="22">
        <v>8812719.3200000003</v>
      </c>
      <c r="E26" s="10">
        <f t="shared" si="1"/>
        <v>2.5266355427982216E-2</v>
      </c>
      <c r="F26" s="22">
        <v>8057685.29</v>
      </c>
      <c r="G26" s="10">
        <f t="shared" si="2"/>
        <v>2.4493902979167183E-2</v>
      </c>
      <c r="H26" s="22">
        <v>9286286.7599999998</v>
      </c>
      <c r="I26" s="10">
        <f t="shared" si="3"/>
        <v>2.7537481823235184E-2</v>
      </c>
      <c r="J26" s="22">
        <v>9139577.8000000007</v>
      </c>
      <c r="K26" s="10">
        <f t="shared" si="4"/>
        <v>2.6716607616770915E-2</v>
      </c>
      <c r="L26" s="22">
        <v>9019891.0399999991</v>
      </c>
      <c r="M26" s="10">
        <f t="shared" si="5"/>
        <v>2.576366045366189E-2</v>
      </c>
      <c r="N26" s="22">
        <v>8767146.0299999993</v>
      </c>
      <c r="O26" s="10">
        <f t="shared" si="6"/>
        <v>2.5198328712836192E-2</v>
      </c>
      <c r="P26" s="22">
        <v>8792408.8699999992</v>
      </c>
      <c r="Q26" s="10">
        <f t="shared" si="7"/>
        <v>2.3735999036860612E-2</v>
      </c>
      <c r="R26" s="22">
        <v>8864746.0899999999</v>
      </c>
      <c r="S26" s="10">
        <f t="shared" si="8"/>
        <v>2.3352268219006659E-2</v>
      </c>
      <c r="T26" s="22">
        <v>8596581.0999999996</v>
      </c>
      <c r="U26" s="10">
        <f t="shared" si="9"/>
        <v>2.3715462686759128E-2</v>
      </c>
      <c r="V26" s="22">
        <v>8481514.9600000009</v>
      </c>
      <c r="W26" s="10">
        <f t="shared" si="10"/>
        <v>2.2603465827091239E-2</v>
      </c>
      <c r="X26" s="22">
        <v>10020131.35</v>
      </c>
      <c r="Y26" s="10">
        <f t="shared" si="11"/>
        <v>2.7188346436425311E-2</v>
      </c>
      <c r="Z26" s="22">
        <v>11007614.470000001</v>
      </c>
      <c r="AA26" s="10">
        <f t="shared" si="12"/>
        <v>2.5348674407310767E-2</v>
      </c>
      <c r="AB26" s="22">
        <f t="shared" si="13"/>
        <v>108846303.07999998</v>
      </c>
      <c r="AC26" s="10">
        <f t="shared" si="14"/>
        <v>2.5047181540374202E-2</v>
      </c>
    </row>
    <row r="27" spans="2:29">
      <c r="B27" s="9">
        <f t="shared" si="0"/>
        <v>21</v>
      </c>
      <c r="C27" s="9" t="s">
        <v>253</v>
      </c>
      <c r="D27" s="22">
        <v>6740771.3799999999</v>
      </c>
      <c r="E27" s="10">
        <f t="shared" si="1"/>
        <v>1.9326012705219137E-2</v>
      </c>
      <c r="F27" s="22">
        <v>6514141.9900000002</v>
      </c>
      <c r="G27" s="10">
        <f t="shared" si="2"/>
        <v>1.98018110850764E-2</v>
      </c>
      <c r="H27" s="22">
        <v>6750968.8300000001</v>
      </c>
      <c r="I27" s="10">
        <f t="shared" si="3"/>
        <v>2.0019269946101932E-2</v>
      </c>
      <c r="J27" s="22">
        <v>7193648.2699999996</v>
      </c>
      <c r="K27" s="10">
        <f t="shared" si="4"/>
        <v>2.1028310318957282E-2</v>
      </c>
      <c r="L27" s="22">
        <v>7358387.7599999998</v>
      </c>
      <c r="M27" s="10">
        <f t="shared" si="5"/>
        <v>2.1017881800822921E-2</v>
      </c>
      <c r="N27" s="22">
        <v>7213524.4100000001</v>
      </c>
      <c r="O27" s="10">
        <f t="shared" si="6"/>
        <v>2.0732945321004052E-2</v>
      </c>
      <c r="P27" s="22">
        <v>7363234.0199999996</v>
      </c>
      <c r="Q27" s="10">
        <f t="shared" si="7"/>
        <v>1.9877796652886925E-2</v>
      </c>
      <c r="R27" s="22">
        <v>8558329.8699999992</v>
      </c>
      <c r="S27" s="10">
        <f t="shared" si="8"/>
        <v>2.2545080547363584E-2</v>
      </c>
      <c r="T27" s="22">
        <v>7660696.9800000004</v>
      </c>
      <c r="U27" s="10">
        <f t="shared" si="9"/>
        <v>2.1133631064535453E-2</v>
      </c>
      <c r="V27" s="22">
        <v>8165157.5199999996</v>
      </c>
      <c r="W27" s="10">
        <f t="shared" si="10"/>
        <v>2.1760364728064693E-2</v>
      </c>
      <c r="X27" s="22">
        <v>8247171.5999999996</v>
      </c>
      <c r="Y27" s="10">
        <f t="shared" si="11"/>
        <v>2.2377646634487287E-2</v>
      </c>
      <c r="Z27" s="22">
        <v>9865710.3399999999</v>
      </c>
      <c r="AA27" s="10">
        <f t="shared" si="12"/>
        <v>2.2719062326089914E-2</v>
      </c>
      <c r="AB27" s="22">
        <f t="shared" si="13"/>
        <v>91631742.969999984</v>
      </c>
      <c r="AC27" s="10">
        <f t="shared" si="14"/>
        <v>2.108585074629158E-2</v>
      </c>
    </row>
    <row r="28" spans="2:29">
      <c r="B28" s="9">
        <f t="shared" si="0"/>
        <v>22</v>
      </c>
      <c r="C28" s="9" t="s">
        <v>254</v>
      </c>
      <c r="D28" s="22">
        <v>6386996.9900000002</v>
      </c>
      <c r="E28" s="10">
        <f t="shared" si="1"/>
        <v>1.8311729922063667E-2</v>
      </c>
      <c r="F28" s="22">
        <v>6241710.4699999997</v>
      </c>
      <c r="G28" s="10">
        <f t="shared" si="2"/>
        <v>1.8973668637315567E-2</v>
      </c>
      <c r="H28" s="22">
        <v>7736035.0800000001</v>
      </c>
      <c r="I28" s="10">
        <f t="shared" si="3"/>
        <v>2.294037766710208E-2</v>
      </c>
      <c r="J28" s="22">
        <v>7130201.0099999998</v>
      </c>
      <c r="K28" s="10">
        <f t="shared" si="4"/>
        <v>2.0842842720029543E-2</v>
      </c>
      <c r="L28" s="22">
        <v>6573702.9299999997</v>
      </c>
      <c r="M28" s="10">
        <f t="shared" si="5"/>
        <v>1.8776573847810285E-2</v>
      </c>
      <c r="N28" s="22">
        <v>7102557.8899999997</v>
      </c>
      <c r="O28" s="10">
        <f t="shared" si="6"/>
        <v>2.0414007911097636E-2</v>
      </c>
      <c r="P28" s="22">
        <v>6940701.5899999999</v>
      </c>
      <c r="Q28" s="10">
        <f t="shared" si="7"/>
        <v>1.873712752571036E-2</v>
      </c>
      <c r="R28" s="22">
        <v>8308258.7300000004</v>
      </c>
      <c r="S28" s="10">
        <f t="shared" si="8"/>
        <v>2.1886321878381475E-2</v>
      </c>
      <c r="T28" s="22">
        <v>6352492.46</v>
      </c>
      <c r="U28" s="10">
        <f t="shared" si="9"/>
        <v>1.7524675932278324E-2</v>
      </c>
      <c r="V28" s="22">
        <v>7274804.2999999998</v>
      </c>
      <c r="W28" s="10">
        <f t="shared" si="10"/>
        <v>1.9387549414146926E-2</v>
      </c>
      <c r="X28" s="22">
        <v>7040474.04</v>
      </c>
      <c r="Y28" s="10">
        <f t="shared" si="11"/>
        <v>1.9103426950204495E-2</v>
      </c>
      <c r="Z28" s="22">
        <v>9683260.5700000003</v>
      </c>
      <c r="AA28" s="10">
        <f t="shared" si="12"/>
        <v>2.2298911363497313E-2</v>
      </c>
      <c r="AB28" s="22">
        <f t="shared" si="13"/>
        <v>86771196.060000002</v>
      </c>
      <c r="AC28" s="10">
        <f t="shared" si="14"/>
        <v>1.9967365346279457E-2</v>
      </c>
    </row>
    <row r="29" spans="2:29">
      <c r="B29" s="9">
        <f t="shared" si="0"/>
        <v>23</v>
      </c>
      <c r="C29" s="9" t="s">
        <v>255</v>
      </c>
      <c r="D29" s="22">
        <v>7637951.1900000004</v>
      </c>
      <c r="E29" s="10">
        <f t="shared" si="1"/>
        <v>2.1898256656166796E-2</v>
      </c>
      <c r="F29" s="22">
        <v>6529725.9299999997</v>
      </c>
      <c r="G29" s="10">
        <f t="shared" si="2"/>
        <v>1.9849183438383232E-2</v>
      </c>
      <c r="H29" s="22">
        <v>6124313.7599999998</v>
      </c>
      <c r="I29" s="10">
        <f t="shared" si="3"/>
        <v>1.8160991923297995E-2</v>
      </c>
      <c r="J29" s="22">
        <v>6273028.6600000001</v>
      </c>
      <c r="K29" s="10">
        <f t="shared" si="4"/>
        <v>1.8337175846129154E-2</v>
      </c>
      <c r="L29" s="22">
        <v>6121922.5999999996</v>
      </c>
      <c r="M29" s="10">
        <f t="shared" si="5"/>
        <v>1.7486146394735051E-2</v>
      </c>
      <c r="N29" s="22">
        <v>6945687.2699999996</v>
      </c>
      <c r="O29" s="10">
        <f t="shared" si="6"/>
        <v>1.9963133996756505E-2</v>
      </c>
      <c r="P29" s="22">
        <v>9067495.5899999999</v>
      </c>
      <c r="Q29" s="10">
        <f t="shared" si="7"/>
        <v>2.447862352322315E-2</v>
      </c>
      <c r="R29" s="22">
        <v>8855742.4000000004</v>
      </c>
      <c r="S29" s="10">
        <f t="shared" si="8"/>
        <v>2.3328549932920838E-2</v>
      </c>
      <c r="T29" s="22">
        <v>6825364.2000000002</v>
      </c>
      <c r="U29" s="10">
        <f t="shared" si="9"/>
        <v>1.8829191294274138E-2</v>
      </c>
      <c r="V29" s="22">
        <v>7743957.9800000004</v>
      </c>
      <c r="W29" s="10">
        <f t="shared" si="10"/>
        <v>2.0637856608503879E-2</v>
      </c>
      <c r="X29" s="22">
        <v>6009837.6500000004</v>
      </c>
      <c r="Y29" s="10">
        <f t="shared" si="11"/>
        <v>1.6306926760483252E-2</v>
      </c>
      <c r="Z29" s="22">
        <v>6939255.1299999999</v>
      </c>
      <c r="AA29" s="10">
        <f t="shared" si="12"/>
        <v>1.5979930928633888E-2</v>
      </c>
      <c r="AB29" s="22">
        <f t="shared" si="13"/>
        <v>85074282.359999999</v>
      </c>
      <c r="AC29" s="10">
        <f t="shared" si="14"/>
        <v>1.9576879824037979E-2</v>
      </c>
    </row>
    <row r="30" spans="2:29">
      <c r="B30" s="9">
        <f t="shared" si="0"/>
        <v>24</v>
      </c>
      <c r="C30" s="9" t="s">
        <v>256</v>
      </c>
      <c r="D30" s="22">
        <v>5939215.7800000003</v>
      </c>
      <c r="E30" s="10">
        <f t="shared" si="1"/>
        <v>1.7027926501687409E-2</v>
      </c>
      <c r="F30" s="22">
        <v>5892484.9000000004</v>
      </c>
      <c r="G30" s="10">
        <f t="shared" si="2"/>
        <v>1.7912086195017881E-2</v>
      </c>
      <c r="H30" s="22">
        <v>6011179.2800000003</v>
      </c>
      <c r="I30" s="10">
        <f t="shared" si="3"/>
        <v>1.7825503824868742E-2</v>
      </c>
      <c r="J30" s="22">
        <v>6048918.7000000002</v>
      </c>
      <c r="K30" s="10">
        <f t="shared" si="4"/>
        <v>1.7682062667451443E-2</v>
      </c>
      <c r="L30" s="22">
        <v>7569901.4100000001</v>
      </c>
      <c r="M30" s="10">
        <f t="shared" si="5"/>
        <v>2.1622031655377558E-2</v>
      </c>
      <c r="N30" s="22">
        <v>5978504.4000000004</v>
      </c>
      <c r="O30" s="10">
        <f t="shared" si="6"/>
        <v>1.71832793210971E-2</v>
      </c>
      <c r="P30" s="22">
        <v>7494243.0599999996</v>
      </c>
      <c r="Q30" s="10">
        <f t="shared" si="7"/>
        <v>2.0231468836839857E-2</v>
      </c>
      <c r="R30" s="22">
        <v>8227265.1500000004</v>
      </c>
      <c r="S30" s="10">
        <f t="shared" si="8"/>
        <v>2.1672961700326159E-2</v>
      </c>
      <c r="T30" s="22">
        <v>7222719.2199999997</v>
      </c>
      <c r="U30" s="10">
        <f t="shared" si="9"/>
        <v>1.9925378027184318E-2</v>
      </c>
      <c r="V30" s="22">
        <v>7511174.9699999997</v>
      </c>
      <c r="W30" s="10">
        <f t="shared" si="10"/>
        <v>2.0017483616594133E-2</v>
      </c>
      <c r="X30" s="22">
        <v>7570517.0599999996</v>
      </c>
      <c r="Y30" s="10">
        <f t="shared" si="11"/>
        <v>2.0541630976738445E-2</v>
      </c>
      <c r="Z30" s="22">
        <v>9443805.4199999999</v>
      </c>
      <c r="AA30" s="10">
        <f t="shared" si="12"/>
        <v>2.174748665208082E-2</v>
      </c>
      <c r="AB30" s="22">
        <f t="shared" si="13"/>
        <v>84909929.350000009</v>
      </c>
      <c r="AC30" s="10">
        <f t="shared" si="14"/>
        <v>1.9539059709236733E-2</v>
      </c>
    </row>
    <row r="31" spans="2:29">
      <c r="B31" s="9">
        <f t="shared" si="0"/>
        <v>25</v>
      </c>
      <c r="C31" s="9" t="s">
        <v>257</v>
      </c>
      <c r="D31" s="22">
        <v>4900839.0599999996</v>
      </c>
      <c r="E31" s="10">
        <f t="shared" si="1"/>
        <v>1.4050866377223761E-2</v>
      </c>
      <c r="F31" s="22">
        <v>5133293.21</v>
      </c>
      <c r="G31" s="10">
        <f t="shared" si="2"/>
        <v>1.5604281046493649E-2</v>
      </c>
      <c r="H31" s="22">
        <v>5376260.4400000004</v>
      </c>
      <c r="I31" s="10">
        <f t="shared" si="3"/>
        <v>1.5942720483410788E-2</v>
      </c>
      <c r="J31" s="22">
        <v>5450498.6299999999</v>
      </c>
      <c r="K31" s="10">
        <f t="shared" si="4"/>
        <v>1.5932774620448814E-2</v>
      </c>
      <c r="L31" s="22">
        <v>6039886.3399999999</v>
      </c>
      <c r="M31" s="10">
        <f t="shared" si="5"/>
        <v>1.7251824900367162E-2</v>
      </c>
      <c r="N31" s="22">
        <v>6043073.6699999999</v>
      </c>
      <c r="O31" s="10">
        <f t="shared" si="6"/>
        <v>1.7368862826224123E-2</v>
      </c>
      <c r="P31" s="22">
        <v>5511730.5499999998</v>
      </c>
      <c r="Q31" s="10">
        <f t="shared" si="7"/>
        <v>1.4879475347492026E-2</v>
      </c>
      <c r="R31" s="22">
        <v>6729097.4500000002</v>
      </c>
      <c r="S31" s="10">
        <f t="shared" si="8"/>
        <v>1.7726360905192463E-2</v>
      </c>
      <c r="T31" s="22">
        <v>6972744.1600000001</v>
      </c>
      <c r="U31" s="10">
        <f t="shared" si="9"/>
        <v>1.9235769665547346E-2</v>
      </c>
      <c r="V31" s="22">
        <v>7913581.8700000001</v>
      </c>
      <c r="W31" s="10">
        <f t="shared" si="10"/>
        <v>2.1089908844355063E-2</v>
      </c>
      <c r="X31" s="22">
        <v>7912521.6299999999</v>
      </c>
      <c r="Y31" s="10">
        <f t="shared" si="11"/>
        <v>2.1469616689420812E-2</v>
      </c>
      <c r="Z31" s="22">
        <v>8842268.1300000008</v>
      </c>
      <c r="AA31" s="10">
        <f t="shared" si="12"/>
        <v>2.0362248011172455E-2</v>
      </c>
      <c r="AB31" s="22">
        <f t="shared" si="13"/>
        <v>76825795.140000001</v>
      </c>
      <c r="AC31" s="10">
        <f t="shared" si="14"/>
        <v>1.7678778088042881E-2</v>
      </c>
    </row>
    <row r="32" spans="2:29">
      <c r="B32" s="9">
        <f t="shared" si="0"/>
        <v>26</v>
      </c>
      <c r="C32" s="9" t="s">
        <v>258</v>
      </c>
      <c r="D32" s="22">
        <v>6353057.5</v>
      </c>
      <c r="E32" s="10">
        <f t="shared" si="1"/>
        <v>1.8214424290708957E-2</v>
      </c>
      <c r="F32" s="22">
        <v>5791460.0199999996</v>
      </c>
      <c r="G32" s="10">
        <f t="shared" si="2"/>
        <v>1.7604988868658782E-2</v>
      </c>
      <c r="H32" s="22">
        <v>4497368.0199999996</v>
      </c>
      <c r="I32" s="10">
        <f t="shared" si="3"/>
        <v>1.3336459803999117E-2</v>
      </c>
      <c r="J32" s="22">
        <v>6797623.5099999998</v>
      </c>
      <c r="K32" s="10">
        <f t="shared" si="4"/>
        <v>1.9870659675680753E-2</v>
      </c>
      <c r="L32" s="22">
        <v>6161261.1399999997</v>
      </c>
      <c r="M32" s="10">
        <f t="shared" si="5"/>
        <v>1.7598509701875709E-2</v>
      </c>
      <c r="N32" s="22">
        <v>5957797.29</v>
      </c>
      <c r="O32" s="10">
        <f t="shared" si="6"/>
        <v>1.7123763423598941E-2</v>
      </c>
      <c r="P32" s="22">
        <v>6705446.5099999998</v>
      </c>
      <c r="Q32" s="10">
        <f t="shared" si="7"/>
        <v>1.8102032589287487E-2</v>
      </c>
      <c r="R32" s="22">
        <v>7137524.4000000004</v>
      </c>
      <c r="S32" s="10">
        <f t="shared" si="8"/>
        <v>1.8802273919218886E-2</v>
      </c>
      <c r="T32" s="22">
        <v>6083558.6299999999</v>
      </c>
      <c r="U32" s="10">
        <f t="shared" si="9"/>
        <v>1.6782765847748064E-2</v>
      </c>
      <c r="V32" s="22">
        <v>6430705.1900000004</v>
      </c>
      <c r="W32" s="10">
        <f t="shared" si="10"/>
        <v>1.7138002549283163E-2</v>
      </c>
      <c r="X32" s="22">
        <v>6364694.6900000004</v>
      </c>
      <c r="Y32" s="10">
        <f t="shared" si="11"/>
        <v>1.7269786008722993E-2</v>
      </c>
      <c r="Z32" s="22">
        <v>7530413.5300000003</v>
      </c>
      <c r="AA32" s="10">
        <f t="shared" si="12"/>
        <v>1.7341268741253229E-2</v>
      </c>
      <c r="AB32" s="22">
        <f t="shared" si="13"/>
        <v>75810910.429999992</v>
      </c>
      <c r="AC32" s="10">
        <f t="shared" si="14"/>
        <v>1.7445237757736605E-2</v>
      </c>
    </row>
    <row r="33" spans="2:29">
      <c r="B33" s="9">
        <f t="shared" si="0"/>
        <v>27</v>
      </c>
      <c r="C33" s="9" t="s">
        <v>259</v>
      </c>
      <c r="D33" s="22">
        <v>5452763.0999999996</v>
      </c>
      <c r="E33" s="10">
        <f t="shared" si="1"/>
        <v>1.563325070804435E-2</v>
      </c>
      <c r="F33" s="22">
        <v>6190091.5999999996</v>
      </c>
      <c r="G33" s="10">
        <f t="shared" si="2"/>
        <v>1.8816756627455446E-2</v>
      </c>
      <c r="H33" s="22">
        <v>6405336.1299999999</v>
      </c>
      <c r="I33" s="10">
        <f t="shared" si="3"/>
        <v>1.8994333452135026E-2</v>
      </c>
      <c r="J33" s="22">
        <v>5583181.6299999999</v>
      </c>
      <c r="K33" s="10">
        <f t="shared" si="4"/>
        <v>1.6320630572439949E-2</v>
      </c>
      <c r="L33" s="22">
        <v>6283755.6200000001</v>
      </c>
      <c r="M33" s="10">
        <f t="shared" si="5"/>
        <v>1.7948392663451693E-2</v>
      </c>
      <c r="N33" s="22">
        <v>5334940.3899999997</v>
      </c>
      <c r="O33" s="10">
        <f t="shared" si="6"/>
        <v>1.5333562501479915E-2</v>
      </c>
      <c r="P33" s="22">
        <v>7036082.3600000003</v>
      </c>
      <c r="Q33" s="10">
        <f t="shared" si="7"/>
        <v>1.899461758313703E-2</v>
      </c>
      <c r="R33" s="22">
        <v>6680689.2599999998</v>
      </c>
      <c r="S33" s="10">
        <f t="shared" si="8"/>
        <v>1.7598839933311291E-2</v>
      </c>
      <c r="T33" s="22">
        <v>7835098.8799999999</v>
      </c>
      <c r="U33" s="10">
        <f t="shared" si="9"/>
        <v>2.1614755095570291E-2</v>
      </c>
      <c r="V33" s="22">
        <v>6402657.3200000003</v>
      </c>
      <c r="W33" s="10">
        <f t="shared" si="10"/>
        <v>1.7063254220233737E-2</v>
      </c>
      <c r="X33" s="22">
        <v>6638269.71</v>
      </c>
      <c r="Y33" s="10">
        <f t="shared" si="11"/>
        <v>1.8012096878740877E-2</v>
      </c>
      <c r="Z33" s="22">
        <v>5745573.5800000001</v>
      </c>
      <c r="AA33" s="10">
        <f t="shared" si="12"/>
        <v>1.3231084206264619E-2</v>
      </c>
      <c r="AB33" s="22">
        <f t="shared" si="13"/>
        <v>75588439.579999998</v>
      </c>
      <c r="AC33" s="10">
        <f t="shared" si="14"/>
        <v>1.7394043848437769E-2</v>
      </c>
    </row>
    <row r="34" spans="2:29">
      <c r="B34" s="9">
        <f t="shared" si="0"/>
        <v>28</v>
      </c>
      <c r="C34" s="9" t="s">
        <v>260</v>
      </c>
      <c r="D34" s="22">
        <v>5722944.29</v>
      </c>
      <c r="E34" s="10">
        <f t="shared" si="1"/>
        <v>1.6407869044180717E-2</v>
      </c>
      <c r="F34" s="22">
        <v>5456770.6500000004</v>
      </c>
      <c r="G34" s="10">
        <f t="shared" si="2"/>
        <v>1.6587593839950909E-2</v>
      </c>
      <c r="H34" s="22">
        <v>6233844.4900000002</v>
      </c>
      <c r="I34" s="10">
        <f t="shared" si="3"/>
        <v>1.8485793489781251E-2</v>
      </c>
      <c r="J34" s="22">
        <v>5506953.7800000003</v>
      </c>
      <c r="K34" s="10">
        <f t="shared" si="4"/>
        <v>1.609780304118133E-2</v>
      </c>
      <c r="L34" s="22">
        <v>6238112.6799999997</v>
      </c>
      <c r="M34" s="10">
        <f t="shared" si="5"/>
        <v>1.7818021996771571E-2</v>
      </c>
      <c r="N34" s="22">
        <v>5819325.0999999996</v>
      </c>
      <c r="O34" s="10">
        <f t="shared" si="6"/>
        <v>1.6725769852000326E-2</v>
      </c>
      <c r="P34" s="22">
        <v>6228591.0599999996</v>
      </c>
      <c r="Q34" s="10">
        <f t="shared" si="7"/>
        <v>1.6814712962860499E-2</v>
      </c>
      <c r="R34" s="22">
        <v>6906993.4100000001</v>
      </c>
      <c r="S34" s="10">
        <f t="shared" si="8"/>
        <v>1.8194989575525611E-2</v>
      </c>
      <c r="T34" s="22">
        <v>6465050.5700000003</v>
      </c>
      <c r="U34" s="10">
        <f t="shared" si="9"/>
        <v>1.7835190964562164E-2</v>
      </c>
      <c r="V34" s="22">
        <v>6670476.3700000001</v>
      </c>
      <c r="W34" s="10">
        <f t="shared" si="10"/>
        <v>1.7776999202476749E-2</v>
      </c>
      <c r="X34" s="22">
        <v>6468638.5599999996</v>
      </c>
      <c r="Y34" s="10">
        <f t="shared" si="11"/>
        <v>1.7551824422072006E-2</v>
      </c>
      <c r="Z34" s="22">
        <v>7072370.5599999996</v>
      </c>
      <c r="AA34" s="10">
        <f t="shared" si="12"/>
        <v>1.6286473250120115E-2</v>
      </c>
      <c r="AB34" s="22">
        <f t="shared" si="13"/>
        <v>74790071.520000011</v>
      </c>
      <c r="AC34" s="10">
        <f t="shared" si="14"/>
        <v>1.7210327275903756E-2</v>
      </c>
    </row>
    <row r="35" spans="2:29">
      <c r="B35" s="9">
        <f t="shared" si="0"/>
        <v>29</v>
      </c>
      <c r="C35" s="9" t="s">
        <v>261</v>
      </c>
      <c r="D35" s="22">
        <v>5235555.84</v>
      </c>
      <c r="E35" s="10">
        <f t="shared" si="1"/>
        <v>1.501051036724587E-2</v>
      </c>
      <c r="F35" s="22">
        <v>5230413.93</v>
      </c>
      <c r="G35" s="10">
        <f t="shared" si="2"/>
        <v>1.5899510434007596E-2</v>
      </c>
      <c r="H35" s="22">
        <v>5570828.9699999997</v>
      </c>
      <c r="I35" s="10">
        <f t="shared" si="3"/>
        <v>1.6519692474123746E-2</v>
      </c>
      <c r="J35" s="22">
        <v>5882937.6100000003</v>
      </c>
      <c r="K35" s="10">
        <f t="shared" si="4"/>
        <v>1.7196870490047589E-2</v>
      </c>
      <c r="L35" s="22">
        <v>5779315.8499999996</v>
      </c>
      <c r="M35" s="10">
        <f t="shared" si="5"/>
        <v>1.6507553201426075E-2</v>
      </c>
      <c r="N35" s="22">
        <v>5804345.6699999999</v>
      </c>
      <c r="O35" s="10">
        <f t="shared" si="6"/>
        <v>1.6682716320123553E-2</v>
      </c>
      <c r="P35" s="22">
        <v>5807897.7300000004</v>
      </c>
      <c r="Q35" s="10">
        <f t="shared" si="7"/>
        <v>1.567900867256472E-2</v>
      </c>
      <c r="R35" s="22">
        <v>6226574.46</v>
      </c>
      <c r="S35" s="10">
        <f t="shared" si="8"/>
        <v>1.6402572098434074E-2</v>
      </c>
      <c r="T35" s="22">
        <v>5682199.7999999998</v>
      </c>
      <c r="U35" s="10">
        <f t="shared" si="9"/>
        <v>1.567553376953661E-2</v>
      </c>
      <c r="V35" s="22">
        <v>6669259.0499999998</v>
      </c>
      <c r="W35" s="10">
        <f t="shared" si="10"/>
        <v>1.7773755011886928E-2</v>
      </c>
      <c r="X35" s="22">
        <v>6311137.2599999998</v>
      </c>
      <c r="Y35" s="10">
        <f t="shared" si="11"/>
        <v>1.7124464763898731E-2</v>
      </c>
      <c r="Z35" s="22">
        <v>7438322.8200000003</v>
      </c>
      <c r="AA35" s="10">
        <f t="shared" si="12"/>
        <v>1.7129199411418852E-2</v>
      </c>
      <c r="AB35" s="22">
        <f t="shared" si="13"/>
        <v>71638788.98999998</v>
      </c>
      <c r="AC35" s="10">
        <f t="shared" si="14"/>
        <v>1.6485169476507407E-2</v>
      </c>
    </row>
    <row r="36" spans="2:29">
      <c r="B36" s="9">
        <f t="shared" si="0"/>
        <v>30</v>
      </c>
      <c r="C36" s="9" t="s">
        <v>262</v>
      </c>
      <c r="D36" s="22">
        <v>6539023.6500000004</v>
      </c>
      <c r="E36" s="10">
        <f t="shared" si="1"/>
        <v>1.8747595344144195E-2</v>
      </c>
      <c r="F36" s="22">
        <v>5255097.75</v>
      </c>
      <c r="G36" s="10">
        <f t="shared" si="2"/>
        <v>1.5974544773334001E-2</v>
      </c>
      <c r="H36" s="22">
        <v>5177106.6100000003</v>
      </c>
      <c r="I36" s="10">
        <f t="shared" si="3"/>
        <v>1.535215128009096E-2</v>
      </c>
      <c r="J36" s="22">
        <v>5699066.1699999999</v>
      </c>
      <c r="K36" s="10">
        <f t="shared" si="4"/>
        <v>1.6659381645167837E-2</v>
      </c>
      <c r="L36" s="22">
        <v>5933515.9100000001</v>
      </c>
      <c r="M36" s="10">
        <f t="shared" si="5"/>
        <v>1.6947997323218292E-2</v>
      </c>
      <c r="N36" s="22">
        <v>6133041.6900000004</v>
      </c>
      <c r="O36" s="10">
        <f t="shared" si="6"/>
        <v>1.7627446832221685E-2</v>
      </c>
      <c r="P36" s="22">
        <v>6620071.8799999999</v>
      </c>
      <c r="Q36" s="10">
        <f t="shared" si="7"/>
        <v>1.7871555121119844E-2</v>
      </c>
      <c r="R36" s="22">
        <v>6296598.3899999997</v>
      </c>
      <c r="S36" s="10">
        <f t="shared" si="8"/>
        <v>1.6587035091339599E-2</v>
      </c>
      <c r="T36" s="22">
        <v>5580229.4500000002</v>
      </c>
      <c r="U36" s="10">
        <f t="shared" si="9"/>
        <v>1.5394227282405261E-2</v>
      </c>
      <c r="V36" s="22">
        <v>5822946.5700000003</v>
      </c>
      <c r="W36" s="10">
        <f t="shared" si="10"/>
        <v>1.5518309456353673E-2</v>
      </c>
      <c r="X36" s="22">
        <v>6042894.5099999998</v>
      </c>
      <c r="Y36" s="10">
        <f t="shared" si="11"/>
        <v>1.6396622327376237E-2</v>
      </c>
      <c r="Z36" s="22">
        <v>6425612.2400000002</v>
      </c>
      <c r="AA36" s="10">
        <f t="shared" si="12"/>
        <v>1.4797098225351527E-2</v>
      </c>
      <c r="AB36" s="22">
        <f t="shared" si="13"/>
        <v>71525204.820000008</v>
      </c>
      <c r="AC36" s="10">
        <f t="shared" si="14"/>
        <v>1.6459032040089278E-2</v>
      </c>
    </row>
    <row r="37" spans="2:29">
      <c r="B37" s="9">
        <f t="shared" si="0"/>
        <v>31</v>
      </c>
      <c r="C37" s="9" t="s">
        <v>263</v>
      </c>
      <c r="D37" s="22">
        <v>5628433.9800000004</v>
      </c>
      <c r="E37" s="10">
        <f t="shared" si="1"/>
        <v>1.6136904884610868E-2</v>
      </c>
      <c r="F37" s="22">
        <v>5133092.37</v>
      </c>
      <c r="G37" s="10">
        <f t="shared" si="2"/>
        <v>1.5603670529292084E-2</v>
      </c>
      <c r="H37" s="22">
        <v>5676505.1299999999</v>
      </c>
      <c r="I37" s="10">
        <f t="shared" si="3"/>
        <v>1.6833063729002944E-2</v>
      </c>
      <c r="J37" s="22">
        <v>5718106.0999999996</v>
      </c>
      <c r="K37" s="10">
        <f t="shared" si="4"/>
        <v>1.6715038738962778E-2</v>
      </c>
      <c r="L37" s="22">
        <v>6017143.4000000004</v>
      </c>
      <c r="M37" s="10">
        <f t="shared" si="5"/>
        <v>1.7186863873534405E-2</v>
      </c>
      <c r="N37" s="22">
        <v>5668145.8099999996</v>
      </c>
      <c r="O37" s="10">
        <f t="shared" si="6"/>
        <v>1.6291253826949788E-2</v>
      </c>
      <c r="P37" s="22">
        <v>5856615.75</v>
      </c>
      <c r="Q37" s="10">
        <f t="shared" si="7"/>
        <v>1.581052790613259E-2</v>
      </c>
      <c r="R37" s="22">
        <v>6146678.04</v>
      </c>
      <c r="S37" s="10">
        <f t="shared" si="8"/>
        <v>1.6192102152579324E-2</v>
      </c>
      <c r="T37" s="22">
        <v>5854008.5599999996</v>
      </c>
      <c r="U37" s="10">
        <f t="shared" si="9"/>
        <v>1.6149504082808984E-2</v>
      </c>
      <c r="V37" s="22">
        <v>6364263.4699999997</v>
      </c>
      <c r="W37" s="10">
        <f t="shared" si="10"/>
        <v>1.6960933575804256E-2</v>
      </c>
      <c r="X37" s="22">
        <v>6154469.0099999998</v>
      </c>
      <c r="Y37" s="10">
        <f t="shared" si="11"/>
        <v>1.6699365480485794E-2</v>
      </c>
      <c r="Z37" s="22">
        <v>6759835.9100000001</v>
      </c>
      <c r="AA37" s="10">
        <f t="shared" si="12"/>
        <v>1.5566758810134571E-2</v>
      </c>
      <c r="AB37" s="22">
        <f t="shared" si="13"/>
        <v>70977297.530000001</v>
      </c>
      <c r="AC37" s="10">
        <f t="shared" si="14"/>
        <v>1.6332950281025417E-2</v>
      </c>
    </row>
    <row r="38" spans="2:29">
      <c r="B38" s="9">
        <f t="shared" si="0"/>
        <v>32</v>
      </c>
      <c r="C38" s="9" t="s">
        <v>264</v>
      </c>
      <c r="D38" s="22">
        <v>5293067.0999999996</v>
      </c>
      <c r="E38" s="10">
        <f t="shared" si="1"/>
        <v>1.5175397036559547E-2</v>
      </c>
      <c r="F38" s="22">
        <v>5229910.91</v>
      </c>
      <c r="G38" s="10">
        <f t="shared" si="2"/>
        <v>1.589798134437042E-2</v>
      </c>
      <c r="H38" s="22">
        <v>5453989</v>
      </c>
      <c r="I38" s="10">
        <f t="shared" si="3"/>
        <v>1.6173216144751559E-2</v>
      </c>
      <c r="J38" s="22">
        <v>5555045.5499999998</v>
      </c>
      <c r="K38" s="10">
        <f t="shared" si="4"/>
        <v>1.6238383818193369E-2</v>
      </c>
      <c r="L38" s="22">
        <v>5797925.6600000001</v>
      </c>
      <c r="M38" s="10">
        <f t="shared" si="5"/>
        <v>1.6560708702287555E-2</v>
      </c>
      <c r="N38" s="22">
        <v>5643841.75</v>
      </c>
      <c r="O38" s="10">
        <f t="shared" si="6"/>
        <v>1.6221399658804207E-2</v>
      </c>
      <c r="P38" s="22">
        <v>6355336.29</v>
      </c>
      <c r="Q38" s="10">
        <f t="shared" si="7"/>
        <v>1.7156874559493194E-2</v>
      </c>
      <c r="R38" s="22">
        <v>6245271.6399999997</v>
      </c>
      <c r="S38" s="10">
        <f t="shared" si="8"/>
        <v>1.6451825800442705E-2</v>
      </c>
      <c r="T38" s="22">
        <v>5755792.9000000004</v>
      </c>
      <c r="U38" s="10">
        <f t="shared" si="9"/>
        <v>1.5878555691478689E-2</v>
      </c>
      <c r="V38" s="22">
        <v>6272844.9299999997</v>
      </c>
      <c r="W38" s="10">
        <f t="shared" si="10"/>
        <v>1.6717300704247949E-2</v>
      </c>
      <c r="X38" s="22">
        <v>6328848.2999999998</v>
      </c>
      <c r="Y38" s="10">
        <f t="shared" si="11"/>
        <v>1.7172521408512414E-2</v>
      </c>
      <c r="Z38" s="22">
        <v>6368179.4800000004</v>
      </c>
      <c r="AA38" s="10">
        <f t="shared" si="12"/>
        <v>1.4664840292670386E-2</v>
      </c>
      <c r="AB38" s="22">
        <f t="shared" si="13"/>
        <v>70300053.50999999</v>
      </c>
      <c r="AC38" s="10">
        <f t="shared" si="14"/>
        <v>1.6177106183099504E-2</v>
      </c>
    </row>
    <row r="39" spans="2:29">
      <c r="B39" s="9">
        <f t="shared" ref="B39:B75" si="15">COUNTIFS($AB$7:$AB$75,"&gt;"&amp;AB39)+1</f>
        <v>33</v>
      </c>
      <c r="C39" s="9" t="s">
        <v>265</v>
      </c>
      <c r="D39" s="22">
        <v>5169420.32</v>
      </c>
      <c r="E39" s="10">
        <f t="shared" si="1"/>
        <v>1.4820897661557836E-2</v>
      </c>
      <c r="F39" s="22">
        <v>4978482.9400000004</v>
      </c>
      <c r="G39" s="10">
        <f t="shared" si="2"/>
        <v>1.5133685882115036E-2</v>
      </c>
      <c r="H39" s="22">
        <v>4979690.18</v>
      </c>
      <c r="I39" s="10">
        <f t="shared" si="3"/>
        <v>1.476673414908552E-2</v>
      </c>
      <c r="J39" s="22">
        <v>5351138.32</v>
      </c>
      <c r="K39" s="10">
        <f t="shared" si="4"/>
        <v>1.5642326804035381E-2</v>
      </c>
      <c r="L39" s="22">
        <v>5456756.5899999999</v>
      </c>
      <c r="M39" s="10">
        <f t="shared" si="5"/>
        <v>1.5586221977581884E-2</v>
      </c>
      <c r="N39" s="22">
        <v>5191477.83</v>
      </c>
      <c r="O39" s="10">
        <f t="shared" si="6"/>
        <v>1.4921225723639684E-2</v>
      </c>
      <c r="P39" s="22">
        <v>6435012.6699999999</v>
      </c>
      <c r="Q39" s="10">
        <f t="shared" si="7"/>
        <v>1.7371969024150471E-2</v>
      </c>
      <c r="R39" s="22">
        <v>6122338.5199999996</v>
      </c>
      <c r="S39" s="10">
        <f t="shared" si="8"/>
        <v>1.6127984918583974E-2</v>
      </c>
      <c r="T39" s="22">
        <v>5771934.8700000001</v>
      </c>
      <c r="U39" s="10">
        <f t="shared" si="9"/>
        <v>1.5923086683831657E-2</v>
      </c>
      <c r="V39" s="22">
        <v>5884484.7400000002</v>
      </c>
      <c r="W39" s="10">
        <f t="shared" si="10"/>
        <v>1.5682310337000203E-2</v>
      </c>
      <c r="X39" s="22">
        <v>5537979.5999999996</v>
      </c>
      <c r="Y39" s="10">
        <f t="shared" si="11"/>
        <v>1.5026600217436877E-2</v>
      </c>
      <c r="Z39" s="22">
        <v>5866076.0899999999</v>
      </c>
      <c r="AA39" s="10">
        <f t="shared" si="12"/>
        <v>1.350858110621316E-2</v>
      </c>
      <c r="AB39" s="22">
        <f t="shared" ref="AB39:AB75" si="16">SUM(D39,F39,H39,J39,L39,N39,P39,R39,T39,V39,X39,Z39)</f>
        <v>66744792.670000002</v>
      </c>
      <c r="AC39" s="10">
        <f t="shared" ref="AC39:AC70" si="17">IF($AB$83=0,"n.a.",AB39/$AB$83)</f>
        <v>1.5358986861054974E-2</v>
      </c>
    </row>
    <row r="40" spans="2:29">
      <c r="B40" s="9">
        <f t="shared" si="15"/>
        <v>34</v>
      </c>
      <c r="C40" s="9" t="s">
        <v>266</v>
      </c>
      <c r="D40" s="22">
        <v>5875350.9299999997</v>
      </c>
      <c r="E40" s="10">
        <f t="shared" si="1"/>
        <v>1.6844823881388048E-2</v>
      </c>
      <c r="F40" s="22">
        <v>5633988.0599999996</v>
      </c>
      <c r="G40" s="10">
        <f t="shared" si="2"/>
        <v>1.7126302649060936E-2</v>
      </c>
      <c r="H40" s="22">
        <v>5091179.4000000004</v>
      </c>
      <c r="I40" s="10">
        <f t="shared" si="3"/>
        <v>1.5097343406432715E-2</v>
      </c>
      <c r="J40" s="22">
        <v>5434712.8399999999</v>
      </c>
      <c r="K40" s="10">
        <f t="shared" si="4"/>
        <v>1.5886629955281596E-2</v>
      </c>
      <c r="L40" s="22">
        <v>5442100.0800000001</v>
      </c>
      <c r="M40" s="10">
        <f t="shared" si="5"/>
        <v>1.5544358351358336E-2</v>
      </c>
      <c r="N40" s="22">
        <v>6743001.71</v>
      </c>
      <c r="O40" s="10">
        <f t="shared" si="6"/>
        <v>1.9380579839594226E-2</v>
      </c>
      <c r="P40" s="22">
        <v>5824987.29</v>
      </c>
      <c r="Q40" s="10">
        <f t="shared" si="7"/>
        <v>1.5725143672164706E-2</v>
      </c>
      <c r="R40" s="22">
        <v>5504739.5099999998</v>
      </c>
      <c r="S40" s="10">
        <f t="shared" si="8"/>
        <v>1.4501053071141409E-2</v>
      </c>
      <c r="T40" s="22">
        <v>5394358.21</v>
      </c>
      <c r="U40" s="10">
        <f t="shared" si="9"/>
        <v>1.4881462683841577E-2</v>
      </c>
      <c r="V40" s="22">
        <v>5342906.67</v>
      </c>
      <c r="W40" s="10">
        <f t="shared" si="10"/>
        <v>1.4238990192464725E-2</v>
      </c>
      <c r="X40" s="22">
        <v>5253462.41</v>
      </c>
      <c r="Y40" s="10">
        <f t="shared" si="11"/>
        <v>1.4254599166887951E-2</v>
      </c>
      <c r="Z40" s="22">
        <v>5129465.3499999996</v>
      </c>
      <c r="AA40" s="10">
        <f t="shared" si="12"/>
        <v>1.181229115491836E-2</v>
      </c>
      <c r="AB40" s="22">
        <f t="shared" si="16"/>
        <v>66670252.460000001</v>
      </c>
      <c r="AC40" s="10">
        <f t="shared" si="17"/>
        <v>1.5341834030696047E-2</v>
      </c>
    </row>
    <row r="41" spans="2:29">
      <c r="B41" s="9">
        <f t="shared" si="15"/>
        <v>35</v>
      </c>
      <c r="C41" s="9" t="s">
        <v>267</v>
      </c>
      <c r="D41" s="22">
        <v>5336711.4400000004</v>
      </c>
      <c r="E41" s="10">
        <f t="shared" si="1"/>
        <v>1.5300526791271822E-2</v>
      </c>
      <c r="F41" s="22">
        <v>4654495.93</v>
      </c>
      <c r="G41" s="10">
        <f t="shared" si="2"/>
        <v>1.4148824088207661E-2</v>
      </c>
      <c r="H41" s="22">
        <v>5125269.4000000004</v>
      </c>
      <c r="I41" s="10">
        <f t="shared" si="3"/>
        <v>1.5198433624688487E-2</v>
      </c>
      <c r="J41" s="22">
        <v>5215305.76</v>
      </c>
      <c r="K41" s="10">
        <f t="shared" si="4"/>
        <v>1.5245264129312977E-2</v>
      </c>
      <c r="L41" s="22">
        <v>5499043.71</v>
      </c>
      <c r="M41" s="10">
        <f t="shared" si="5"/>
        <v>1.5707007361397702E-2</v>
      </c>
      <c r="N41" s="22">
        <v>5290325.58</v>
      </c>
      <c r="O41" s="10">
        <f t="shared" si="6"/>
        <v>1.5205331644597437E-2</v>
      </c>
      <c r="P41" s="22">
        <v>6190703.3099999996</v>
      </c>
      <c r="Q41" s="10">
        <f t="shared" si="7"/>
        <v>1.6712431141029251E-2</v>
      </c>
      <c r="R41" s="22">
        <v>5447055.5300000003</v>
      </c>
      <c r="S41" s="10">
        <f t="shared" si="8"/>
        <v>1.4349097024208562E-2</v>
      </c>
      <c r="T41" s="22">
        <v>5113139.5999999996</v>
      </c>
      <c r="U41" s="10">
        <f t="shared" si="9"/>
        <v>1.4105662470396574E-2</v>
      </c>
      <c r="V41" s="22">
        <v>5177002.6100000003</v>
      </c>
      <c r="W41" s="10">
        <f t="shared" si="10"/>
        <v>1.3796851403761145E-2</v>
      </c>
      <c r="X41" s="22">
        <v>4622266.83</v>
      </c>
      <c r="Y41" s="10">
        <f t="shared" si="11"/>
        <v>1.2541930590125192E-2</v>
      </c>
      <c r="Z41" s="22">
        <v>5436028.4500000002</v>
      </c>
      <c r="AA41" s="10">
        <f t="shared" si="12"/>
        <v>1.2518254125221758E-2</v>
      </c>
      <c r="AB41" s="22">
        <f t="shared" si="16"/>
        <v>63107348.150000006</v>
      </c>
      <c r="AC41" s="10">
        <f t="shared" si="17"/>
        <v>1.4521955830533739E-2</v>
      </c>
    </row>
    <row r="42" spans="2:29">
      <c r="B42" s="9">
        <f t="shared" si="15"/>
        <v>36</v>
      </c>
      <c r="C42" s="9" t="s">
        <v>268</v>
      </c>
      <c r="D42" s="22">
        <v>5582518.7400000002</v>
      </c>
      <c r="E42" s="10">
        <f t="shared" si="1"/>
        <v>1.6005264385092369E-2</v>
      </c>
      <c r="F42" s="22">
        <v>5068033.1399999997</v>
      </c>
      <c r="G42" s="10">
        <f t="shared" si="2"/>
        <v>1.540590226084196E-2</v>
      </c>
      <c r="H42" s="22">
        <v>5218799.38</v>
      </c>
      <c r="I42" s="10">
        <f t="shared" si="3"/>
        <v>1.547578669279227E-2</v>
      </c>
      <c r="J42" s="22">
        <v>4944151.57</v>
      </c>
      <c r="K42" s="10">
        <f t="shared" si="4"/>
        <v>1.4452632318916511E-2</v>
      </c>
      <c r="L42" s="22">
        <v>5234174.68</v>
      </c>
      <c r="M42" s="10">
        <f t="shared" si="5"/>
        <v>1.4950457673230871E-2</v>
      </c>
      <c r="N42" s="22">
        <v>5086554.24</v>
      </c>
      <c r="O42" s="10">
        <f t="shared" si="6"/>
        <v>1.4619656763626495E-2</v>
      </c>
      <c r="P42" s="22">
        <v>5256602.4000000004</v>
      </c>
      <c r="Q42" s="10">
        <f t="shared" si="7"/>
        <v>1.4190731044057919E-2</v>
      </c>
      <c r="R42" s="22">
        <v>5085449.3099999996</v>
      </c>
      <c r="S42" s="10">
        <f t="shared" si="8"/>
        <v>1.3396523159895981E-2</v>
      </c>
      <c r="T42" s="22">
        <v>5170093.8600000003</v>
      </c>
      <c r="U42" s="10">
        <f t="shared" si="9"/>
        <v>1.4262782680416112E-2</v>
      </c>
      <c r="V42" s="22">
        <v>5052872.0999999996</v>
      </c>
      <c r="W42" s="10">
        <f t="shared" si="10"/>
        <v>1.3466040251022882E-2</v>
      </c>
      <c r="X42" s="22">
        <v>4911787.09</v>
      </c>
      <c r="Y42" s="10">
        <f t="shared" si="11"/>
        <v>1.3327506832021854E-2</v>
      </c>
      <c r="Z42" s="22">
        <v>5084281.0599999996</v>
      </c>
      <c r="AA42" s="10">
        <f t="shared" si="12"/>
        <v>1.1708239377064306E-2</v>
      </c>
      <c r="AB42" s="22">
        <f t="shared" si="16"/>
        <v>61695317.570000008</v>
      </c>
      <c r="AC42" s="10">
        <f t="shared" si="17"/>
        <v>1.4197026225420503E-2</v>
      </c>
    </row>
    <row r="43" spans="2:29">
      <c r="B43" s="9">
        <f t="shared" si="15"/>
        <v>37</v>
      </c>
      <c r="C43" s="9" t="s">
        <v>269</v>
      </c>
      <c r="D43" s="22">
        <v>4428546.5999999996</v>
      </c>
      <c r="E43" s="10">
        <f t="shared" si="1"/>
        <v>1.2696788398905024E-2</v>
      </c>
      <c r="F43" s="22">
        <v>4314116.22</v>
      </c>
      <c r="G43" s="10">
        <f t="shared" si="2"/>
        <v>1.3114131457165841E-2</v>
      </c>
      <c r="H43" s="22">
        <v>4763964.47</v>
      </c>
      <c r="I43" s="10">
        <f t="shared" si="3"/>
        <v>1.4127022822969902E-2</v>
      </c>
      <c r="J43" s="22">
        <v>4918564.07</v>
      </c>
      <c r="K43" s="10">
        <f t="shared" si="4"/>
        <v>1.4377835516224584E-2</v>
      </c>
      <c r="L43" s="22">
        <v>4878333.76</v>
      </c>
      <c r="M43" s="10">
        <f t="shared" si="5"/>
        <v>1.3934063506411904E-2</v>
      </c>
      <c r="N43" s="22">
        <v>4685160.2699999996</v>
      </c>
      <c r="O43" s="10">
        <f t="shared" si="6"/>
        <v>1.3465979482011703E-2</v>
      </c>
      <c r="P43" s="22">
        <v>5053123.12</v>
      </c>
      <c r="Q43" s="10">
        <f t="shared" si="7"/>
        <v>1.3641418100868882E-2</v>
      </c>
      <c r="R43" s="22">
        <v>4899978.6100000003</v>
      </c>
      <c r="S43" s="10">
        <f t="shared" si="8"/>
        <v>1.2907940465118888E-2</v>
      </c>
      <c r="T43" s="22">
        <v>4634335.8600000003</v>
      </c>
      <c r="U43" s="10">
        <f t="shared" si="9"/>
        <v>1.2784782448657385E-2</v>
      </c>
      <c r="V43" s="22">
        <v>5136794.41</v>
      </c>
      <c r="W43" s="10">
        <f t="shared" si="10"/>
        <v>1.3689695467710206E-2</v>
      </c>
      <c r="X43" s="22">
        <v>4905026.88</v>
      </c>
      <c r="Y43" s="10">
        <f t="shared" si="11"/>
        <v>1.3309163865742974E-2</v>
      </c>
      <c r="Z43" s="22">
        <v>5409359.6399999997</v>
      </c>
      <c r="AA43" s="10">
        <f t="shared" si="12"/>
        <v>1.2456840366285808E-2</v>
      </c>
      <c r="AB43" s="22">
        <f t="shared" si="16"/>
        <v>58027303.910000004</v>
      </c>
      <c r="AC43" s="10">
        <f t="shared" si="17"/>
        <v>1.3352960773173887E-2</v>
      </c>
    </row>
    <row r="44" spans="2:29">
      <c r="B44" s="9">
        <f t="shared" si="15"/>
        <v>38</v>
      </c>
      <c r="C44" s="9" t="s">
        <v>270</v>
      </c>
      <c r="D44" s="22"/>
      <c r="E44" s="10"/>
      <c r="F44" s="22"/>
      <c r="G44" s="10"/>
      <c r="H44" s="22"/>
      <c r="I44" s="10"/>
      <c r="J44" s="22"/>
      <c r="K44" s="10"/>
      <c r="L44" s="22">
        <v>206903.25</v>
      </c>
      <c r="M44" s="10">
        <f t="shared" si="5"/>
        <v>5.9098109457418895E-4</v>
      </c>
      <c r="N44" s="22">
        <v>6393006.0499999998</v>
      </c>
      <c r="O44" s="10">
        <f t="shared" si="6"/>
        <v>1.8374630393951642E-2</v>
      </c>
      <c r="P44" s="22">
        <v>6510135.2199999997</v>
      </c>
      <c r="Q44" s="10">
        <f t="shared" si="7"/>
        <v>1.7574769963097991E-2</v>
      </c>
      <c r="R44" s="22">
        <v>6952321.9500000002</v>
      </c>
      <c r="S44" s="10">
        <f t="shared" si="8"/>
        <v>1.8314397871410145E-2</v>
      </c>
      <c r="T44" s="22">
        <v>5441548.1200000001</v>
      </c>
      <c r="U44" s="10">
        <f t="shared" si="9"/>
        <v>1.5011645897002508E-2</v>
      </c>
      <c r="V44" s="22">
        <v>5719362.7300000004</v>
      </c>
      <c r="W44" s="10">
        <f t="shared" si="10"/>
        <v>1.5242255732611979E-2</v>
      </c>
      <c r="X44" s="22">
        <v>5152440.43</v>
      </c>
      <c r="Y44" s="10">
        <f t="shared" si="11"/>
        <v>1.3980488928808724E-2</v>
      </c>
      <c r="Z44" s="22">
        <v>7788722.96</v>
      </c>
      <c r="AA44" s="10">
        <f t="shared" si="12"/>
        <v>1.7936111670686605E-2</v>
      </c>
      <c r="AB44" s="22">
        <f t="shared" si="16"/>
        <v>44164440.710000001</v>
      </c>
      <c r="AC44" s="10">
        <f t="shared" si="17"/>
        <v>1.0162906160252687E-2</v>
      </c>
    </row>
    <row r="45" spans="2:29">
      <c r="B45" s="9">
        <f t="shared" si="15"/>
        <v>39</v>
      </c>
      <c r="C45" s="9" t="s">
        <v>271</v>
      </c>
      <c r="D45" s="22">
        <v>3503121.22</v>
      </c>
      <c r="E45" s="10">
        <f t="shared" ref="E45:E50" si="18">IF(D$83=0,"n.a.",D45/D$83)</f>
        <v>1.0043563472055149E-2</v>
      </c>
      <c r="F45" s="22">
        <v>3208512.31</v>
      </c>
      <c r="G45" s="10">
        <f t="shared" ref="G45:G50" si="19">IF(F$83=0,"n.a.",F45/F$83)</f>
        <v>9.7532959404776631E-3</v>
      </c>
      <c r="H45" s="22">
        <v>2468121.9900000002</v>
      </c>
      <c r="I45" s="10">
        <f t="shared" ref="I45:I50" si="20">IF(H$83=0,"n.a.",H45/H$83)</f>
        <v>7.3189495644168604E-3</v>
      </c>
      <c r="J45" s="22">
        <v>3408735.07</v>
      </c>
      <c r="K45" s="10">
        <f t="shared" ref="K45:K50" si="21">IF(J$83=0,"n.a.",J45/J$83)</f>
        <v>9.9643374483574208E-3</v>
      </c>
      <c r="L45" s="22">
        <v>3493966.89</v>
      </c>
      <c r="M45" s="10">
        <f t="shared" si="5"/>
        <v>9.9798740573585724E-3</v>
      </c>
      <c r="N45" s="22">
        <v>3344959.59</v>
      </c>
      <c r="O45" s="10">
        <f t="shared" si="6"/>
        <v>9.6140056286907506E-3</v>
      </c>
      <c r="P45" s="22">
        <v>3694791.46</v>
      </c>
      <c r="Q45" s="10">
        <f t="shared" si="7"/>
        <v>9.9744640897211616E-3</v>
      </c>
      <c r="R45" s="22">
        <v>3478128.69</v>
      </c>
      <c r="S45" s="10">
        <f t="shared" si="8"/>
        <v>9.1623824579393307E-3</v>
      </c>
      <c r="T45" s="22">
        <v>3507838.47</v>
      </c>
      <c r="U45" s="10">
        <f t="shared" si="9"/>
        <v>9.6771043486652206E-3</v>
      </c>
      <c r="V45" s="22">
        <v>3398428.17</v>
      </c>
      <c r="W45" s="10">
        <f t="shared" si="10"/>
        <v>9.0569026133533112E-3</v>
      </c>
      <c r="X45" s="22">
        <v>3408157.73</v>
      </c>
      <c r="Y45" s="10">
        <f t="shared" si="11"/>
        <v>9.2476006388100777E-3</v>
      </c>
      <c r="Z45" s="22">
        <v>3526654.29</v>
      </c>
      <c r="AA45" s="10">
        <f t="shared" si="12"/>
        <v>8.1212883670657588E-3</v>
      </c>
      <c r="AB45" s="22">
        <f t="shared" si="16"/>
        <v>40441415.879999995</v>
      </c>
      <c r="AC45" s="10">
        <f t="shared" si="17"/>
        <v>9.3061818052895887E-3</v>
      </c>
    </row>
    <row r="46" spans="2:29">
      <c r="B46" s="9">
        <f t="shared" si="15"/>
        <v>40</v>
      </c>
      <c r="C46" s="9" t="s">
        <v>272</v>
      </c>
      <c r="D46" s="22">
        <v>2199674.09</v>
      </c>
      <c r="E46" s="10">
        <f t="shared" si="18"/>
        <v>6.3065377853953183E-3</v>
      </c>
      <c r="F46" s="22">
        <v>2212948.4900000002</v>
      </c>
      <c r="G46" s="10">
        <f t="shared" si="19"/>
        <v>6.7269623547129781E-3</v>
      </c>
      <c r="H46" s="22">
        <v>3010367.61</v>
      </c>
      <c r="I46" s="10">
        <f t="shared" si="20"/>
        <v>8.9269204671460021E-3</v>
      </c>
      <c r="J46" s="22">
        <v>2610442.77</v>
      </c>
      <c r="K46" s="10">
        <f t="shared" si="21"/>
        <v>7.6307874081586744E-3</v>
      </c>
      <c r="L46" s="22">
        <v>2664638.79</v>
      </c>
      <c r="M46" s="10">
        <f t="shared" si="5"/>
        <v>7.6110508112320254E-3</v>
      </c>
      <c r="N46" s="22">
        <v>2730251.76</v>
      </c>
      <c r="O46" s="10">
        <f t="shared" si="6"/>
        <v>7.847226575428622E-3</v>
      </c>
      <c r="P46" s="22">
        <v>2972476.84</v>
      </c>
      <c r="Q46" s="10">
        <f t="shared" si="7"/>
        <v>8.024502551520955E-3</v>
      </c>
      <c r="R46" s="22">
        <v>3047007.49</v>
      </c>
      <c r="S46" s="10">
        <f t="shared" si="8"/>
        <v>8.0266863201044324E-3</v>
      </c>
      <c r="T46" s="22">
        <v>2566715.73</v>
      </c>
      <c r="U46" s="10">
        <f t="shared" si="9"/>
        <v>7.0808209001055923E-3</v>
      </c>
      <c r="V46" s="22">
        <v>3293803.9</v>
      </c>
      <c r="W46" s="10">
        <f t="shared" si="10"/>
        <v>8.7780761156365204E-3</v>
      </c>
      <c r="X46" s="22">
        <v>3189387.89</v>
      </c>
      <c r="Y46" s="10">
        <f t="shared" si="11"/>
        <v>8.6539966238525952E-3</v>
      </c>
      <c r="Z46" s="22">
        <v>4110650.53</v>
      </c>
      <c r="AA46" s="10">
        <f t="shared" si="12"/>
        <v>9.4661329365407377E-3</v>
      </c>
      <c r="AB46" s="22">
        <f t="shared" si="16"/>
        <v>34608365.890000001</v>
      </c>
      <c r="AC46" s="10">
        <f t="shared" si="17"/>
        <v>7.9639087294072972E-3</v>
      </c>
    </row>
    <row r="47" spans="2:29">
      <c r="B47" s="9">
        <f t="shared" si="15"/>
        <v>41</v>
      </c>
      <c r="C47" s="9" t="s">
        <v>273</v>
      </c>
      <c r="D47" s="22">
        <v>2666370.36</v>
      </c>
      <c r="E47" s="10">
        <f t="shared" si="18"/>
        <v>7.6445713033780009E-3</v>
      </c>
      <c r="F47" s="22">
        <v>2819709.92</v>
      </c>
      <c r="G47" s="10">
        <f t="shared" si="19"/>
        <v>8.5714071379269837E-3</v>
      </c>
      <c r="H47" s="22">
        <v>2262430.5499999998</v>
      </c>
      <c r="I47" s="10">
        <f t="shared" si="20"/>
        <v>6.7089937837496822E-3</v>
      </c>
      <c r="J47" s="22">
        <v>2963351.32</v>
      </c>
      <c r="K47" s="10">
        <f t="shared" si="21"/>
        <v>8.6624017191560126E-3</v>
      </c>
      <c r="L47" s="22">
        <v>3181179.31</v>
      </c>
      <c r="M47" s="10">
        <f t="shared" si="5"/>
        <v>9.0864538409162893E-3</v>
      </c>
      <c r="N47" s="22">
        <v>2405860.34</v>
      </c>
      <c r="O47" s="10">
        <f t="shared" si="6"/>
        <v>6.9148682452704439E-3</v>
      </c>
      <c r="P47" s="22">
        <v>3228359.18</v>
      </c>
      <c r="Q47" s="10">
        <f t="shared" si="7"/>
        <v>8.7152828673128045E-3</v>
      </c>
      <c r="R47" s="22">
        <v>2993711.03</v>
      </c>
      <c r="S47" s="10">
        <f t="shared" si="8"/>
        <v>7.8862882515745789E-3</v>
      </c>
      <c r="T47" s="22">
        <v>2948335.21</v>
      </c>
      <c r="U47" s="10">
        <f t="shared" si="9"/>
        <v>8.1335978626215881E-3</v>
      </c>
      <c r="V47" s="22">
        <v>2881549.99</v>
      </c>
      <c r="W47" s="10">
        <f t="shared" si="10"/>
        <v>7.6794083409858303E-3</v>
      </c>
      <c r="X47" s="22">
        <v>2765464.35</v>
      </c>
      <c r="Y47" s="10">
        <f t="shared" si="11"/>
        <v>7.503734250488019E-3</v>
      </c>
      <c r="Z47" s="22">
        <v>2881452.84</v>
      </c>
      <c r="AA47" s="10">
        <f t="shared" si="12"/>
        <v>6.6354985505938519E-3</v>
      </c>
      <c r="AB47" s="22">
        <f t="shared" si="16"/>
        <v>33997774.400000006</v>
      </c>
      <c r="AC47" s="10">
        <f t="shared" si="17"/>
        <v>7.8234023873058386E-3</v>
      </c>
    </row>
    <row r="48" spans="2:29">
      <c r="B48" s="9">
        <f t="shared" si="15"/>
        <v>42</v>
      </c>
      <c r="C48" s="9" t="s">
        <v>274</v>
      </c>
      <c r="D48" s="22">
        <v>2732208.89</v>
      </c>
      <c r="E48" s="10">
        <f t="shared" si="18"/>
        <v>7.8333325289920569E-3</v>
      </c>
      <c r="F48" s="22">
        <v>2550889.52</v>
      </c>
      <c r="G48" s="10">
        <f t="shared" si="19"/>
        <v>7.7542418405192326E-3</v>
      </c>
      <c r="H48" s="22">
        <v>3031329.88</v>
      </c>
      <c r="I48" s="10">
        <f t="shared" si="20"/>
        <v>8.9890818179654934E-3</v>
      </c>
      <c r="J48" s="22">
        <v>2957075.07</v>
      </c>
      <c r="K48" s="10">
        <f t="shared" si="21"/>
        <v>8.6440551267614758E-3</v>
      </c>
      <c r="L48" s="22">
        <v>3151413.08</v>
      </c>
      <c r="M48" s="10">
        <f t="shared" si="5"/>
        <v>9.0014320774266052E-3</v>
      </c>
      <c r="N48" s="22">
        <v>3299693.7</v>
      </c>
      <c r="O48" s="10">
        <f t="shared" si="6"/>
        <v>9.4839034527037184E-3</v>
      </c>
      <c r="P48" s="22">
        <v>3177151.23</v>
      </c>
      <c r="Q48" s="10">
        <f t="shared" si="7"/>
        <v>8.5770418153040835E-3</v>
      </c>
      <c r="R48" s="22">
        <v>2895911.25</v>
      </c>
      <c r="S48" s="10">
        <f t="shared" si="8"/>
        <v>7.6286557518805203E-3</v>
      </c>
      <c r="T48" s="22">
        <v>3078474.46</v>
      </c>
      <c r="U48" s="10">
        <f t="shared" si="9"/>
        <v>8.4926141379938775E-3</v>
      </c>
      <c r="V48" s="22">
        <v>2274261.4500000002</v>
      </c>
      <c r="W48" s="10">
        <f t="shared" si="10"/>
        <v>6.0609680239184505E-3</v>
      </c>
      <c r="X48" s="22"/>
      <c r="Y48" s="10"/>
      <c r="Z48" s="22"/>
      <c r="AA48" s="10"/>
      <c r="AB48" s="22">
        <f t="shared" si="16"/>
        <v>29148408.530000001</v>
      </c>
      <c r="AC48" s="10">
        <f t="shared" si="17"/>
        <v>6.707489913803529E-3</v>
      </c>
    </row>
    <row r="49" spans="2:29">
      <c r="B49" s="9">
        <f t="shared" si="15"/>
        <v>43</v>
      </c>
      <c r="C49" s="9" t="s">
        <v>275</v>
      </c>
      <c r="D49" s="22">
        <v>2176844.81</v>
      </c>
      <c r="E49" s="10">
        <f t="shared" si="18"/>
        <v>6.241085490626793E-3</v>
      </c>
      <c r="F49" s="22">
        <v>1981761.41</v>
      </c>
      <c r="G49" s="10">
        <f t="shared" si="19"/>
        <v>6.0241955297806815E-3</v>
      </c>
      <c r="H49" s="22">
        <v>2223282.14</v>
      </c>
      <c r="I49" s="10">
        <f t="shared" si="20"/>
        <v>6.5929033962088658E-3</v>
      </c>
      <c r="J49" s="22">
        <v>2412152.2000000002</v>
      </c>
      <c r="K49" s="10">
        <f t="shared" si="21"/>
        <v>7.0511488877889649E-3</v>
      </c>
      <c r="L49" s="22">
        <v>2334022</v>
      </c>
      <c r="M49" s="10">
        <f t="shared" si="5"/>
        <v>6.6667047343153757E-3</v>
      </c>
      <c r="N49" s="22">
        <v>2398372.52</v>
      </c>
      <c r="O49" s="10">
        <f t="shared" si="6"/>
        <v>6.8933469258973092E-3</v>
      </c>
      <c r="P49" s="22">
        <v>2559143.39</v>
      </c>
      <c r="Q49" s="10">
        <f t="shared" si="7"/>
        <v>6.9086670033610721E-3</v>
      </c>
      <c r="R49" s="22">
        <v>2424048.3199999998</v>
      </c>
      <c r="S49" s="10">
        <f t="shared" si="8"/>
        <v>6.3856342832344431E-3</v>
      </c>
      <c r="T49" s="22">
        <v>2439409.9500000002</v>
      </c>
      <c r="U49" s="10">
        <f t="shared" si="9"/>
        <v>6.7296213429469025E-3</v>
      </c>
      <c r="V49" s="22">
        <v>2189880.0299999998</v>
      </c>
      <c r="W49" s="10">
        <f t="shared" si="10"/>
        <v>5.8360892667145082E-3</v>
      </c>
      <c r="X49" s="22">
        <v>2204731.2200000002</v>
      </c>
      <c r="Y49" s="10">
        <f>IF(X$83=0,"n.a.",X49/X$83)</f>
        <v>5.9822565308550214E-3</v>
      </c>
      <c r="Z49" s="22">
        <v>2406634.65</v>
      </c>
      <c r="AA49" s="10">
        <f>IF(Z$83=0,"n.a.",Z49/Z$83)</f>
        <v>5.5420725649925765E-3</v>
      </c>
      <c r="AB49" s="22">
        <f t="shared" si="16"/>
        <v>27750282.639999997</v>
      </c>
      <c r="AC49" s="10">
        <f t="shared" si="17"/>
        <v>6.3857599882828717E-3</v>
      </c>
    </row>
    <row r="50" spans="2:29">
      <c r="B50" s="9">
        <f t="shared" si="15"/>
        <v>44</v>
      </c>
      <c r="C50" s="9" t="s">
        <v>276</v>
      </c>
      <c r="D50" s="22">
        <v>1872058.15</v>
      </c>
      <c r="E50" s="10">
        <f t="shared" si="18"/>
        <v>5.367252136625502E-3</v>
      </c>
      <c r="F50" s="22">
        <v>1764375.99</v>
      </c>
      <c r="G50" s="10">
        <f t="shared" si="19"/>
        <v>5.3633832499596235E-3</v>
      </c>
      <c r="H50" s="22">
        <v>1947615.41</v>
      </c>
      <c r="I50" s="10">
        <f t="shared" si="20"/>
        <v>5.775443440164423E-3</v>
      </c>
      <c r="J50" s="22">
        <v>1821874.78</v>
      </c>
      <c r="K50" s="10">
        <f t="shared" si="21"/>
        <v>5.3256632515509446E-3</v>
      </c>
      <c r="L50" s="22">
        <v>2101448.9500000002</v>
      </c>
      <c r="M50" s="10">
        <f t="shared" si="5"/>
        <v>6.0024025754200584E-3</v>
      </c>
      <c r="N50" s="22">
        <v>1955679.72</v>
      </c>
      <c r="O50" s="10">
        <f t="shared" si="6"/>
        <v>5.6209695005602E-3</v>
      </c>
      <c r="P50" s="22">
        <v>2149358.5499999998</v>
      </c>
      <c r="Q50" s="10">
        <f t="shared" si="7"/>
        <v>5.8024112876211278E-3</v>
      </c>
      <c r="R50" s="22">
        <v>2202291.87</v>
      </c>
      <c r="S50" s="10">
        <f t="shared" si="8"/>
        <v>5.8014645792046314E-3</v>
      </c>
      <c r="T50" s="22">
        <v>2135346.5</v>
      </c>
      <c r="U50" s="10">
        <f t="shared" si="9"/>
        <v>5.890798871664423E-3</v>
      </c>
      <c r="V50" s="22">
        <v>2325908.0299999998</v>
      </c>
      <c r="W50" s="10">
        <f t="shared" si="10"/>
        <v>6.1986075507744079E-3</v>
      </c>
      <c r="X50" s="22">
        <v>2104197.77</v>
      </c>
      <c r="Y50" s="10">
        <f>IF(X$83=0,"n.a.",X50/X$83)</f>
        <v>5.7094718565254728E-3</v>
      </c>
      <c r="Z50" s="22">
        <v>2427280.96</v>
      </c>
      <c r="AA50" s="10">
        <f>IF(Z$83=0,"n.a.",Z50/Z$83)</f>
        <v>5.5896175250135464E-3</v>
      </c>
      <c r="AB50" s="22">
        <f t="shared" si="16"/>
        <v>24807436.680000003</v>
      </c>
      <c r="AC50" s="10">
        <f t="shared" si="17"/>
        <v>5.7085665979726722E-3</v>
      </c>
    </row>
    <row r="51" spans="2:29">
      <c r="B51" s="9">
        <f t="shared" si="15"/>
        <v>45</v>
      </c>
      <c r="C51" s="9" t="s">
        <v>277</v>
      </c>
      <c r="D51" s="22"/>
      <c r="E51" s="10"/>
      <c r="F51" s="22"/>
      <c r="G51" s="10"/>
      <c r="H51" s="22"/>
      <c r="I51" s="10"/>
      <c r="J51" s="22"/>
      <c r="K51" s="10"/>
      <c r="L51" s="22"/>
      <c r="M51" s="10"/>
      <c r="N51" s="22"/>
      <c r="O51" s="10"/>
      <c r="P51" s="22"/>
      <c r="Q51" s="10"/>
      <c r="R51" s="22"/>
      <c r="S51" s="10"/>
      <c r="T51" s="22">
        <v>1228250.05</v>
      </c>
      <c r="U51" s="10">
        <f t="shared" si="9"/>
        <v>3.3883840438363381E-3</v>
      </c>
      <c r="V51" s="22">
        <v>5304130.05</v>
      </c>
      <c r="W51" s="10">
        <f t="shared" si="10"/>
        <v>1.4135649455674925E-2</v>
      </c>
      <c r="X51" s="22">
        <v>5753190.25</v>
      </c>
      <c r="Y51" s="10">
        <f>IF(X$83=0,"n.a.",X51/X$83)</f>
        <v>1.5610546824983923E-2</v>
      </c>
      <c r="Z51" s="22">
        <v>6202932.3899999997</v>
      </c>
      <c r="AA51" s="10">
        <f>IF(Z$83=0,"n.a.",Z51/Z$83)</f>
        <v>1.4284304192629667E-2</v>
      </c>
      <c r="AB51" s="22">
        <f t="shared" si="16"/>
        <v>18488502.739999998</v>
      </c>
      <c r="AC51" s="10">
        <f t="shared" si="17"/>
        <v>4.2544842721771369E-3</v>
      </c>
    </row>
    <row r="52" spans="2:29">
      <c r="B52" s="9">
        <f t="shared" si="15"/>
        <v>46</v>
      </c>
      <c r="C52" s="9" t="s">
        <v>278</v>
      </c>
      <c r="D52" s="22">
        <v>2896187.85</v>
      </c>
      <c r="E52" s="10">
        <f>IF(D$83=0,"n.a.",D52/D$83)</f>
        <v>8.3034655873169966E-3</v>
      </c>
      <c r="F52" s="22">
        <v>2465978.0499999998</v>
      </c>
      <c r="G52" s="10">
        <f>IF(F$83=0,"n.a.",F52/F$83)</f>
        <v>7.4961263603105892E-3</v>
      </c>
      <c r="H52" s="22">
        <v>2677943.9700000002</v>
      </c>
      <c r="I52" s="10">
        <f>IF(H$83=0,"n.a.",H52/H$83)</f>
        <v>7.94115401595861E-3</v>
      </c>
      <c r="J52" s="22">
        <v>2704914.83</v>
      </c>
      <c r="K52" s="10">
        <f>IF(J$83=0,"n.a.",J52/J$83)</f>
        <v>7.9069460024613607E-3</v>
      </c>
      <c r="L52" s="22">
        <v>2882571.13</v>
      </c>
      <c r="M52" s="10">
        <f>IF(L$83=0,"n.a.",L52/L$83)</f>
        <v>8.2335344736989714E-3</v>
      </c>
      <c r="N52" s="22">
        <v>1977627.72</v>
      </c>
      <c r="O52" s="10">
        <f>IF(N$83=0,"n.a.",N52/N$83)</f>
        <v>5.6840519354480028E-3</v>
      </c>
      <c r="P52" s="22"/>
      <c r="Q52" s="10"/>
      <c r="R52" s="22"/>
      <c r="S52" s="10"/>
      <c r="T52" s="22"/>
      <c r="U52" s="10"/>
      <c r="V52" s="22"/>
      <c r="W52" s="10"/>
      <c r="X52" s="22"/>
      <c r="Y52" s="10"/>
      <c r="Z52" s="22"/>
      <c r="AA52" s="10"/>
      <c r="AB52" s="22">
        <f t="shared" si="16"/>
        <v>15605223.550000003</v>
      </c>
      <c r="AC52" s="10">
        <f t="shared" si="17"/>
        <v>3.5909980970845932E-3</v>
      </c>
    </row>
    <row r="53" spans="2:29">
      <c r="B53" s="9">
        <f t="shared" si="15"/>
        <v>47</v>
      </c>
      <c r="C53" s="9" t="s">
        <v>279</v>
      </c>
      <c r="D53" s="22">
        <v>3285139.58</v>
      </c>
      <c r="E53" s="10">
        <f>IF(D$83=0,"n.a.",D53/D$83)</f>
        <v>9.4186029583899437E-3</v>
      </c>
      <c r="F53" s="22">
        <v>2977223.48</v>
      </c>
      <c r="G53" s="10">
        <f>IF(F$83=0,"n.a.",F53/F$83)</f>
        <v>9.0502198139856237E-3</v>
      </c>
      <c r="H53" s="22">
        <v>2831106.81</v>
      </c>
      <c r="I53" s="10">
        <f>IF(H$83=0,"n.a.",H53/H$83)</f>
        <v>8.3953418987475197E-3</v>
      </c>
      <c r="J53" s="22">
        <v>2767572.32</v>
      </c>
      <c r="K53" s="10">
        <f>IF(J$83=0,"n.a.",J53/J$83)</f>
        <v>8.0901049635439762E-3</v>
      </c>
      <c r="L53" s="22">
        <v>2951750.17</v>
      </c>
      <c r="M53" s="10">
        <f>IF(L$83=0,"n.a.",L53/L$83)</f>
        <v>8.4311316829298166E-3</v>
      </c>
      <c r="N53" s="22">
        <v>671736.19</v>
      </c>
      <c r="O53" s="10">
        <f>IF(N$83=0,"n.a.",N53/N$83)</f>
        <v>1.9306886489637023E-3</v>
      </c>
      <c r="P53" s="22"/>
      <c r="Q53" s="10"/>
      <c r="R53" s="22"/>
      <c r="S53" s="10"/>
      <c r="T53" s="22"/>
      <c r="U53" s="10"/>
      <c r="V53" s="22"/>
      <c r="W53" s="10"/>
      <c r="X53" s="22"/>
      <c r="Y53" s="10"/>
      <c r="Z53" s="22"/>
      <c r="AA53" s="10"/>
      <c r="AB53" s="22">
        <f t="shared" si="16"/>
        <v>15484528.550000001</v>
      </c>
      <c r="AC53" s="10">
        <f t="shared" si="17"/>
        <v>3.5632243510732692E-3</v>
      </c>
    </row>
    <row r="54" spans="2:29">
      <c r="B54" s="9">
        <f t="shared" si="15"/>
        <v>48</v>
      </c>
      <c r="C54" s="9" t="s">
        <v>280</v>
      </c>
      <c r="D54" s="22"/>
      <c r="E54" s="10"/>
      <c r="F54" s="22"/>
      <c r="G54" s="10"/>
      <c r="H54" s="22"/>
      <c r="I54" s="10"/>
      <c r="J54" s="22"/>
      <c r="K54" s="10"/>
      <c r="L54" s="22"/>
      <c r="M54" s="10"/>
      <c r="N54" s="22"/>
      <c r="O54" s="10"/>
      <c r="P54" s="22"/>
      <c r="Q54" s="10"/>
      <c r="R54" s="22"/>
      <c r="S54" s="10"/>
      <c r="T54" s="22">
        <v>2334392.7000000002</v>
      </c>
      <c r="U54" s="10">
        <f>IF(T$83=0,"n.a.",T54/T$83)</f>
        <v>6.4399093464136466E-3</v>
      </c>
      <c r="V54" s="22">
        <v>3439492.45</v>
      </c>
      <c r="W54" s="10">
        <f>IF(V$83=0,"n.a.",V54/V$83)</f>
        <v>9.166340025663685E-3</v>
      </c>
      <c r="X54" s="22">
        <v>3138955.59</v>
      </c>
      <c r="Y54" s="10">
        <f>IF(X$83=0,"n.a.",X54/X$83)</f>
        <v>8.51715502007604E-3</v>
      </c>
      <c r="Z54" s="22">
        <v>4697616.5199999996</v>
      </c>
      <c r="AA54" s="10">
        <f>IF(Z$83=0,"n.a.",Z54/Z$83)</f>
        <v>1.0817816337992099E-2</v>
      </c>
      <c r="AB54" s="22">
        <f t="shared" si="16"/>
        <v>13610457.26</v>
      </c>
      <c r="AC54" s="10">
        <f t="shared" si="17"/>
        <v>3.1319721863972386E-3</v>
      </c>
    </row>
    <row r="55" spans="2:29">
      <c r="B55" s="9">
        <f t="shared" si="15"/>
        <v>49</v>
      </c>
      <c r="C55" s="9" t="s">
        <v>281</v>
      </c>
      <c r="D55" s="22">
        <v>985195.8</v>
      </c>
      <c r="E55" s="10">
        <f t="shared" ref="E55:E62" si="22">IF(D$83=0,"n.a.",D55/D$83)</f>
        <v>2.8245886820046006E-3</v>
      </c>
      <c r="F55" s="22">
        <v>977120.5</v>
      </c>
      <c r="G55" s="10">
        <f t="shared" ref="G55:G62" si="23">IF(F$83=0,"n.a.",F55/F$83)</f>
        <v>2.9702692354661728E-3</v>
      </c>
      <c r="H55" s="22">
        <v>961895.49</v>
      </c>
      <c r="I55" s="10">
        <f t="shared" ref="I55:I62" si="24">IF(H$83=0,"n.a.",H55/H$83)</f>
        <v>2.8523973312802263E-3</v>
      </c>
      <c r="J55" s="22">
        <v>1124937.68</v>
      </c>
      <c r="K55" s="10">
        <f t="shared" ref="K55:K62" si="25">IF(J$83=0,"n.a.",J55/J$83)</f>
        <v>3.2883924452047006E-3</v>
      </c>
      <c r="L55" s="22">
        <v>1009889.13</v>
      </c>
      <c r="M55" s="10">
        <f>IF(L$83=0,"n.a.",L55/L$83)</f>
        <v>2.8845626322736616E-3</v>
      </c>
      <c r="N55" s="22">
        <v>998889.83</v>
      </c>
      <c r="O55" s="10">
        <f>IF(N$83=0,"n.a.",N55/N$83)</f>
        <v>2.8709860880746685E-3</v>
      </c>
      <c r="P55" s="22">
        <v>1526575.99</v>
      </c>
      <c r="Q55" s="10">
        <f>IF(P$83=0,"n.a.",P55/P$83)</f>
        <v>4.1211466350215969E-3</v>
      </c>
      <c r="R55" s="22">
        <v>1426714.03</v>
      </c>
      <c r="S55" s="10">
        <f>IF(R$83=0,"n.a.",R55/R$83)</f>
        <v>3.7583714595010938E-3</v>
      </c>
      <c r="T55" s="22">
        <v>1008397.13</v>
      </c>
      <c r="U55" s="10">
        <f>IF(T$83=0,"n.a.",T55/T$83)</f>
        <v>2.781873890534226E-3</v>
      </c>
      <c r="V55" s="22">
        <v>1038890.59</v>
      </c>
      <c r="W55" s="10">
        <f>IF(V$83=0,"n.a.",V55/V$83)</f>
        <v>2.7686714059809493E-3</v>
      </c>
      <c r="X55" s="22">
        <v>933960.11</v>
      </c>
      <c r="Y55" s="10">
        <f>IF(X$83=0,"n.a.",X55/X$83)</f>
        <v>2.5341814534678622E-3</v>
      </c>
      <c r="Z55" s="22">
        <v>1140082.8600000001</v>
      </c>
      <c r="AA55" s="10">
        <f>IF(Z$83=0,"n.a.",Z55/Z$83)</f>
        <v>2.6254180044421255E-3</v>
      </c>
      <c r="AB55" s="22">
        <f t="shared" si="16"/>
        <v>13132549.139999999</v>
      </c>
      <c r="AC55" s="10">
        <f t="shared" si="17"/>
        <v>3.021998295667472E-3</v>
      </c>
    </row>
    <row r="56" spans="2:29">
      <c r="B56" s="9">
        <f t="shared" si="15"/>
        <v>50</v>
      </c>
      <c r="C56" s="9" t="s">
        <v>282</v>
      </c>
      <c r="D56" s="22">
        <v>3070649.58</v>
      </c>
      <c r="E56" s="10">
        <f t="shared" si="22"/>
        <v>8.8036530911623674E-3</v>
      </c>
      <c r="F56" s="22">
        <v>2685556.76</v>
      </c>
      <c r="G56" s="10">
        <f t="shared" si="23"/>
        <v>8.1636058442394899E-3</v>
      </c>
      <c r="H56" s="22">
        <v>2386176.7400000002</v>
      </c>
      <c r="I56" s="10">
        <f t="shared" si="24"/>
        <v>7.0759497636681415E-3</v>
      </c>
      <c r="J56" s="22">
        <v>2307280.0499999998</v>
      </c>
      <c r="K56" s="10">
        <f t="shared" si="25"/>
        <v>6.744588985046286E-3</v>
      </c>
      <c r="L56" s="22"/>
      <c r="M56" s="10"/>
      <c r="N56" s="22"/>
      <c r="O56" s="10"/>
      <c r="P56" s="22"/>
      <c r="Q56" s="10"/>
      <c r="R56" s="22"/>
      <c r="S56" s="10"/>
      <c r="T56" s="22"/>
      <c r="U56" s="10"/>
      <c r="V56" s="22"/>
      <c r="W56" s="10"/>
      <c r="X56" s="22"/>
      <c r="Y56" s="10"/>
      <c r="Z56" s="22"/>
      <c r="AA56" s="10"/>
      <c r="AB56" s="22">
        <f t="shared" si="16"/>
        <v>10449663.129999999</v>
      </c>
      <c r="AC56" s="10">
        <f t="shared" si="17"/>
        <v>2.4046256238991863E-3</v>
      </c>
    </row>
    <row r="57" spans="2:29">
      <c r="B57" s="9">
        <f t="shared" si="15"/>
        <v>51</v>
      </c>
      <c r="C57" s="9" t="s">
        <v>283</v>
      </c>
      <c r="D57" s="22">
        <v>726111.68</v>
      </c>
      <c r="E57" s="10">
        <f t="shared" si="22"/>
        <v>2.0817860096433078E-3</v>
      </c>
      <c r="F57" s="22">
        <v>698794.65</v>
      </c>
      <c r="G57" s="10">
        <f t="shared" si="23"/>
        <v>2.1242090927407133E-3</v>
      </c>
      <c r="H57" s="22">
        <v>805079.95</v>
      </c>
      <c r="I57" s="10">
        <f t="shared" si="24"/>
        <v>2.3873777605997694E-3</v>
      </c>
      <c r="J57" s="22">
        <v>828504.68</v>
      </c>
      <c r="K57" s="10">
        <f t="shared" si="25"/>
        <v>2.4218661877596082E-3</v>
      </c>
      <c r="L57" s="22">
        <v>873968.25</v>
      </c>
      <c r="M57" s="10">
        <f t="shared" ref="M57:M62" si="26">IF(L$83=0,"n.a.",L57/L$83)</f>
        <v>2.4963296275340697E-3</v>
      </c>
      <c r="N57" s="22">
        <v>918591.51</v>
      </c>
      <c r="O57" s="10">
        <f t="shared" ref="O57:O62" si="27">IF(N$83=0,"n.a.",N57/N$83)</f>
        <v>2.6401945105733061E-3</v>
      </c>
      <c r="P57" s="22">
        <v>992950.43</v>
      </c>
      <c r="Q57" s="10">
        <f t="shared" ref="Q57:Q62" si="28">IF(P$83=0,"n.a.",P57/P$83)</f>
        <v>2.6805703418260546E-3</v>
      </c>
      <c r="R57" s="22">
        <v>1084324.6599999999</v>
      </c>
      <c r="S57" s="10">
        <f t="shared" ref="S57:S62" si="29">IF(R$83=0,"n.a.",R57/R$83)</f>
        <v>2.856420256116236E-3</v>
      </c>
      <c r="T57" s="22">
        <v>862037.3</v>
      </c>
      <c r="U57" s="10">
        <f t="shared" ref="U57:U62" si="30">IF(T$83=0,"n.a.",T57/T$83)</f>
        <v>2.3781097607215719E-3</v>
      </c>
      <c r="V57" s="22">
        <v>912193.96</v>
      </c>
      <c r="W57" s="10">
        <f t="shared" ref="W57:W62" si="31">IF(V$83=0,"n.a.",V57/V$83)</f>
        <v>2.4310214743214968E-3</v>
      </c>
      <c r="X57" s="22">
        <v>794238.62</v>
      </c>
      <c r="Y57" s="10">
        <f t="shared" ref="Y57:Y62" si="32">IF(X$83=0,"n.a.",X57/X$83)</f>
        <v>2.1550650385185181E-3</v>
      </c>
      <c r="Z57" s="22">
        <v>903380.43</v>
      </c>
      <c r="AA57" s="10">
        <f t="shared" ref="AA57:AA65" si="33">IF(Z$83=0,"n.a.",Z57/Z$83)</f>
        <v>2.080332341618283E-3</v>
      </c>
      <c r="AB57" s="22">
        <f t="shared" si="16"/>
        <v>10400176.119999999</v>
      </c>
      <c r="AC57" s="10">
        <f t="shared" si="17"/>
        <v>2.393237913997369E-3</v>
      </c>
    </row>
    <row r="58" spans="2:29">
      <c r="B58" s="9">
        <f t="shared" si="15"/>
        <v>52</v>
      </c>
      <c r="C58" s="9" t="s">
        <v>284</v>
      </c>
      <c r="D58" s="22">
        <v>889234.09</v>
      </c>
      <c r="E58" s="10">
        <f t="shared" si="22"/>
        <v>2.5494633110155975E-3</v>
      </c>
      <c r="F58" s="22">
        <v>809077.4</v>
      </c>
      <c r="G58" s="10">
        <f t="shared" si="23"/>
        <v>2.4594486660866896E-3</v>
      </c>
      <c r="H58" s="22">
        <v>838403.43</v>
      </c>
      <c r="I58" s="10">
        <f t="shared" si="24"/>
        <v>2.4861949464678209E-3</v>
      </c>
      <c r="J58" s="22">
        <v>866530.84</v>
      </c>
      <c r="K58" s="10">
        <f t="shared" si="25"/>
        <v>2.533023400721081E-3</v>
      </c>
      <c r="L58" s="22">
        <v>892070.68</v>
      </c>
      <c r="M58" s="10">
        <f t="shared" si="26"/>
        <v>2.5480358907070872E-3</v>
      </c>
      <c r="N58" s="22">
        <v>829516.46</v>
      </c>
      <c r="O58" s="10">
        <f t="shared" si="27"/>
        <v>2.3841770583337978E-3</v>
      </c>
      <c r="P58" s="22">
        <v>788609.1</v>
      </c>
      <c r="Q58" s="10">
        <f t="shared" si="28"/>
        <v>2.1289302072754397E-3</v>
      </c>
      <c r="R58" s="22">
        <v>837416.58</v>
      </c>
      <c r="S58" s="10">
        <f t="shared" si="29"/>
        <v>2.2059939888479361E-3</v>
      </c>
      <c r="T58" s="22">
        <v>822815.48</v>
      </c>
      <c r="U58" s="10">
        <f t="shared" si="30"/>
        <v>2.2699081864100373E-3</v>
      </c>
      <c r="V58" s="22">
        <v>854431.25</v>
      </c>
      <c r="W58" s="10">
        <f t="shared" si="31"/>
        <v>2.2770822962710248E-3</v>
      </c>
      <c r="X58" s="22">
        <v>824135.81</v>
      </c>
      <c r="Y58" s="10">
        <f t="shared" si="32"/>
        <v>2.2361872444859707E-3</v>
      </c>
      <c r="Z58" s="22">
        <v>919826.41</v>
      </c>
      <c r="AA58" s="10">
        <f t="shared" si="33"/>
        <v>2.1182046520507852E-3</v>
      </c>
      <c r="AB58" s="22">
        <f t="shared" si="16"/>
        <v>10172067.529999999</v>
      </c>
      <c r="AC58" s="10">
        <f t="shared" si="17"/>
        <v>2.3407466754070284E-3</v>
      </c>
    </row>
    <row r="59" spans="2:29">
      <c r="B59" s="9">
        <f t="shared" si="15"/>
        <v>53</v>
      </c>
      <c r="C59" s="9" t="s">
        <v>285</v>
      </c>
      <c r="D59" s="22">
        <v>731550.94</v>
      </c>
      <c r="E59" s="10">
        <f t="shared" si="22"/>
        <v>2.0973805465206272E-3</v>
      </c>
      <c r="F59" s="22">
        <v>826724.32</v>
      </c>
      <c r="G59" s="10">
        <f t="shared" si="23"/>
        <v>2.5130921047175772E-3</v>
      </c>
      <c r="H59" s="22">
        <v>782430.58</v>
      </c>
      <c r="I59" s="10">
        <f t="shared" si="24"/>
        <v>2.3202134966908302E-3</v>
      </c>
      <c r="J59" s="22">
        <v>795433.74</v>
      </c>
      <c r="K59" s="10">
        <f t="shared" si="25"/>
        <v>2.3251939621019009E-3</v>
      </c>
      <c r="L59" s="22">
        <v>813259.79</v>
      </c>
      <c r="M59" s="10">
        <f t="shared" si="26"/>
        <v>2.3229270727616659E-3</v>
      </c>
      <c r="N59" s="22">
        <v>819173.01</v>
      </c>
      <c r="O59" s="10">
        <f t="shared" si="27"/>
        <v>2.3544481531424257E-3</v>
      </c>
      <c r="P59" s="22">
        <v>1010713.54</v>
      </c>
      <c r="Q59" s="10">
        <f t="shared" si="28"/>
        <v>2.7285236579292502E-3</v>
      </c>
      <c r="R59" s="22">
        <v>835598.09</v>
      </c>
      <c r="S59" s="10">
        <f t="shared" si="29"/>
        <v>2.20120356780232E-3</v>
      </c>
      <c r="T59" s="22">
        <v>889861.98</v>
      </c>
      <c r="U59" s="10">
        <f t="shared" si="30"/>
        <v>2.4548699462691743E-3</v>
      </c>
      <c r="V59" s="22">
        <v>798477.43</v>
      </c>
      <c r="W59" s="10">
        <f t="shared" si="31"/>
        <v>2.1279638587949432E-3</v>
      </c>
      <c r="X59" s="22">
        <v>782533.89</v>
      </c>
      <c r="Y59" s="10">
        <f t="shared" si="32"/>
        <v>2.1233057488376675E-3</v>
      </c>
      <c r="Z59" s="22">
        <v>596312.72</v>
      </c>
      <c r="AA59" s="10">
        <f t="shared" si="33"/>
        <v>1.3732073398295417E-3</v>
      </c>
      <c r="AB59" s="22">
        <f t="shared" si="16"/>
        <v>9682070.0300000012</v>
      </c>
      <c r="AC59" s="10">
        <f t="shared" si="17"/>
        <v>2.2279908353872806E-3</v>
      </c>
    </row>
    <row r="60" spans="2:29">
      <c r="B60" s="9">
        <f t="shared" si="15"/>
        <v>54</v>
      </c>
      <c r="C60" s="9" t="s">
        <v>286</v>
      </c>
      <c r="D60" s="22">
        <v>720913.51</v>
      </c>
      <c r="E60" s="10">
        <f t="shared" si="22"/>
        <v>2.0668826857059386E-3</v>
      </c>
      <c r="F60" s="22">
        <v>645758.36</v>
      </c>
      <c r="G60" s="10">
        <f t="shared" si="23"/>
        <v>1.9629883829610467E-3</v>
      </c>
      <c r="H60" s="22">
        <v>710033.45</v>
      </c>
      <c r="I60" s="10">
        <f t="shared" si="24"/>
        <v>2.1055276159987943E-3</v>
      </c>
      <c r="J60" s="22">
        <v>718241.18</v>
      </c>
      <c r="K60" s="10">
        <f t="shared" si="25"/>
        <v>2.099546412337179E-3</v>
      </c>
      <c r="L60" s="22">
        <v>823965.01</v>
      </c>
      <c r="M60" s="10">
        <f t="shared" si="26"/>
        <v>2.3535045655427482E-3</v>
      </c>
      <c r="N60" s="22">
        <v>728033.7</v>
      </c>
      <c r="O60" s="10">
        <f t="shared" si="27"/>
        <v>2.0924976524683675E-3</v>
      </c>
      <c r="P60" s="22">
        <v>786329.55</v>
      </c>
      <c r="Q60" s="10">
        <f t="shared" si="28"/>
        <v>2.1227763309709506E-3</v>
      </c>
      <c r="R60" s="22">
        <v>919240.76</v>
      </c>
      <c r="S60" s="10">
        <f t="shared" si="29"/>
        <v>2.4215422040772213E-3</v>
      </c>
      <c r="T60" s="22">
        <v>784243.34</v>
      </c>
      <c r="U60" s="10">
        <f t="shared" si="30"/>
        <v>2.1634988899376932E-3</v>
      </c>
      <c r="V60" s="22">
        <v>789886.25</v>
      </c>
      <c r="W60" s="10">
        <f t="shared" si="31"/>
        <v>2.1050681326823064E-3</v>
      </c>
      <c r="X60" s="22">
        <v>884234.94</v>
      </c>
      <c r="Y60" s="10">
        <f t="shared" si="32"/>
        <v>2.3992585566168E-3</v>
      </c>
      <c r="Z60" s="22">
        <v>872747.95</v>
      </c>
      <c r="AA60" s="10">
        <f t="shared" si="33"/>
        <v>2.0097909210475768E-3</v>
      </c>
      <c r="AB60" s="22">
        <f t="shared" si="16"/>
        <v>9383627.9999999981</v>
      </c>
      <c r="AC60" s="10">
        <f t="shared" si="17"/>
        <v>2.1593148078772441E-3</v>
      </c>
    </row>
    <row r="61" spans="2:29">
      <c r="B61" s="9">
        <f t="shared" si="15"/>
        <v>55</v>
      </c>
      <c r="C61" s="9" t="s">
        <v>287</v>
      </c>
      <c r="D61" s="22">
        <v>581925</v>
      </c>
      <c r="E61" s="10">
        <f t="shared" si="22"/>
        <v>1.6683980674456055E-3</v>
      </c>
      <c r="F61" s="22">
        <v>610859</v>
      </c>
      <c r="G61" s="10">
        <f t="shared" si="23"/>
        <v>1.8569006534072624E-3</v>
      </c>
      <c r="H61" s="22">
        <v>563423.4</v>
      </c>
      <c r="I61" s="10">
        <f t="shared" si="24"/>
        <v>1.6707713252100097E-3</v>
      </c>
      <c r="J61" s="22">
        <v>513726.25</v>
      </c>
      <c r="K61" s="10">
        <f t="shared" si="25"/>
        <v>1.5017129832501845E-3</v>
      </c>
      <c r="L61" s="22">
        <v>534610.37</v>
      </c>
      <c r="M61" s="10">
        <f t="shared" si="26"/>
        <v>1.5270162340770973E-3</v>
      </c>
      <c r="N61" s="22">
        <v>565433.73</v>
      </c>
      <c r="O61" s="10">
        <f t="shared" si="27"/>
        <v>1.6251565726304055E-3</v>
      </c>
      <c r="P61" s="22">
        <v>606763.93000000005</v>
      </c>
      <c r="Q61" s="10">
        <f t="shared" si="28"/>
        <v>1.6380207370954262E-3</v>
      </c>
      <c r="R61" s="22">
        <v>483824.57</v>
      </c>
      <c r="S61" s="10">
        <f t="shared" si="29"/>
        <v>1.2745318382362785E-3</v>
      </c>
      <c r="T61" s="22">
        <v>624547.5</v>
      </c>
      <c r="U61" s="10">
        <f t="shared" si="30"/>
        <v>1.7229445939105604E-3</v>
      </c>
      <c r="V61" s="22">
        <v>757248.69</v>
      </c>
      <c r="W61" s="10">
        <f t="shared" si="31"/>
        <v>2.0180881561546646E-3</v>
      </c>
      <c r="X61" s="22">
        <v>710558.42</v>
      </c>
      <c r="Y61" s="10">
        <f t="shared" si="32"/>
        <v>1.928009505212624E-3</v>
      </c>
      <c r="Z61" s="22">
        <v>458673.35</v>
      </c>
      <c r="AA61" s="10">
        <f t="shared" si="33"/>
        <v>1.0562471496569858E-3</v>
      </c>
      <c r="AB61" s="22">
        <f t="shared" si="16"/>
        <v>7011594.209999999</v>
      </c>
      <c r="AC61" s="10">
        <f t="shared" si="17"/>
        <v>1.6134739361448841E-3</v>
      </c>
    </row>
    <row r="62" spans="2:29">
      <c r="B62" s="9">
        <f t="shared" si="15"/>
        <v>56</v>
      </c>
      <c r="C62" s="9" t="s">
        <v>288</v>
      </c>
      <c r="D62" s="22">
        <v>345815.39</v>
      </c>
      <c r="E62" s="10">
        <f t="shared" si="22"/>
        <v>9.9146406902770701E-4</v>
      </c>
      <c r="F62" s="22">
        <v>317819.90999999997</v>
      </c>
      <c r="G62" s="10">
        <f t="shared" si="23"/>
        <v>9.6611492757712873E-4</v>
      </c>
      <c r="H62" s="22">
        <v>282053.34000000003</v>
      </c>
      <c r="I62" s="10">
        <f t="shared" si="24"/>
        <v>8.3639875917775064E-4</v>
      </c>
      <c r="J62" s="22">
        <v>355506.42</v>
      </c>
      <c r="K62" s="10">
        <f t="shared" si="25"/>
        <v>1.0392083459679021E-3</v>
      </c>
      <c r="L62" s="22">
        <v>368902.21</v>
      </c>
      <c r="M62" s="10">
        <f t="shared" si="26"/>
        <v>1.0537013403928519E-3</v>
      </c>
      <c r="N62" s="22">
        <v>364710.29</v>
      </c>
      <c r="O62" s="10">
        <f t="shared" si="27"/>
        <v>1.048241895472775E-3</v>
      </c>
      <c r="P62" s="22">
        <v>410064.29</v>
      </c>
      <c r="Q62" s="10">
        <f t="shared" si="28"/>
        <v>1.107010119342975E-3</v>
      </c>
      <c r="R62" s="22">
        <v>431058.72</v>
      </c>
      <c r="S62" s="10">
        <f t="shared" si="29"/>
        <v>1.1355315477041136E-3</v>
      </c>
      <c r="T62" s="22">
        <v>422210.89</v>
      </c>
      <c r="U62" s="10">
        <f t="shared" si="30"/>
        <v>1.1647568366147752E-3</v>
      </c>
      <c r="V62" s="22">
        <v>476712.77</v>
      </c>
      <c r="W62" s="10">
        <f t="shared" si="31"/>
        <v>1.2704523728191367E-3</v>
      </c>
      <c r="X62" s="22">
        <v>439823.53</v>
      </c>
      <c r="Y62" s="10">
        <f t="shared" si="32"/>
        <v>1.1934049651486358E-3</v>
      </c>
      <c r="Z62" s="22">
        <v>508758.05</v>
      </c>
      <c r="AA62" s="10">
        <f t="shared" si="33"/>
        <v>1.171583742935024E-3</v>
      </c>
      <c r="AB62" s="22">
        <f t="shared" si="16"/>
        <v>4723435.8100000005</v>
      </c>
      <c r="AC62" s="10">
        <f t="shared" si="17"/>
        <v>1.0869340609613518E-3</v>
      </c>
    </row>
    <row r="63" spans="2:29">
      <c r="B63" s="9">
        <f t="shared" si="15"/>
        <v>57</v>
      </c>
      <c r="C63" s="9" t="s">
        <v>289</v>
      </c>
      <c r="D63" s="22"/>
      <c r="E63" s="10"/>
      <c r="F63" s="22"/>
      <c r="G63" s="10"/>
      <c r="H63" s="22"/>
      <c r="I63" s="10"/>
      <c r="J63" s="22"/>
      <c r="K63" s="10"/>
      <c r="L63" s="22"/>
      <c r="M63" s="10"/>
      <c r="N63" s="22"/>
      <c r="O63" s="10"/>
      <c r="P63" s="22"/>
      <c r="Q63" s="10"/>
      <c r="R63" s="22"/>
      <c r="S63" s="10"/>
      <c r="T63" s="22"/>
      <c r="U63" s="10"/>
      <c r="V63" s="22"/>
      <c r="W63" s="10"/>
      <c r="X63" s="22"/>
      <c r="Y63" s="10"/>
      <c r="Z63" s="22">
        <v>4617373.46</v>
      </c>
      <c r="AA63" s="10">
        <f t="shared" si="33"/>
        <v>1.0633030142315472E-2</v>
      </c>
      <c r="AB63" s="22">
        <f t="shared" si="16"/>
        <v>4617373.46</v>
      </c>
      <c r="AC63" s="10">
        <f t="shared" si="17"/>
        <v>1.0625275091550291E-3</v>
      </c>
    </row>
    <row r="64" spans="2:29">
      <c r="B64" s="9">
        <f t="shared" si="15"/>
        <v>58</v>
      </c>
      <c r="C64" s="9" t="s">
        <v>290</v>
      </c>
      <c r="D64" s="22">
        <v>344312</v>
      </c>
      <c r="E64" s="10">
        <f>IF(D$83=0,"n.a.",D64/D$83)</f>
        <v>9.8715380057280808E-4</v>
      </c>
      <c r="F64" s="22">
        <v>286552.73</v>
      </c>
      <c r="G64" s="10">
        <f>IF(F$83=0,"n.a.",F64/F$83)</f>
        <v>8.7106836695969908E-4</v>
      </c>
      <c r="H64" s="22">
        <v>288721.52</v>
      </c>
      <c r="I64" s="10">
        <f>IF(H$83=0,"n.a.",H64/H$83)</f>
        <v>8.5617252777759733E-4</v>
      </c>
      <c r="J64" s="22">
        <v>275432.7</v>
      </c>
      <c r="K64" s="10">
        <f>IF(J$83=0,"n.a.",J64/J$83)</f>
        <v>8.0513865429623866E-4</v>
      </c>
      <c r="L64" s="22">
        <v>334713.64</v>
      </c>
      <c r="M64" s="10">
        <f>IF(L$83=0,"n.a.",L64/L$83)</f>
        <v>9.560479757379889E-4</v>
      </c>
      <c r="N64" s="22">
        <v>327824.99</v>
      </c>
      <c r="O64" s="10">
        <f>IF(N$83=0,"n.a.",N64/N$83)</f>
        <v>9.4222701778154795E-4</v>
      </c>
      <c r="P64" s="22">
        <v>360178.83</v>
      </c>
      <c r="Q64" s="10">
        <f>IF(P$83=0,"n.a.",P64/P$83)</f>
        <v>9.7233926315093942E-4</v>
      </c>
      <c r="R64" s="22">
        <v>350728.85</v>
      </c>
      <c r="S64" s="10">
        <f>IF(R$83=0,"n.a.",R64/R$83)</f>
        <v>9.2391977098847211E-4</v>
      </c>
      <c r="T64" s="22">
        <v>331750.21999999997</v>
      </c>
      <c r="U64" s="10">
        <f>IF(T$83=0,"n.a.",T64/T$83)</f>
        <v>9.1520220331942569E-4</v>
      </c>
      <c r="V64" s="22">
        <v>352033.94</v>
      </c>
      <c r="W64" s="10">
        <f>IF(V$83=0,"n.a.",V64/V$83)</f>
        <v>9.3817993251128892E-4</v>
      </c>
      <c r="X64" s="22">
        <v>325046.76</v>
      </c>
      <c r="Y64" s="10">
        <f>IF(X$83=0,"n.a.",X64/X$83)</f>
        <v>8.8197286145531362E-4</v>
      </c>
      <c r="Z64" s="22">
        <v>322537.31</v>
      </c>
      <c r="AA64" s="10">
        <f t="shared" si="33"/>
        <v>7.4274887421632769E-4</v>
      </c>
      <c r="AB64" s="22">
        <f t="shared" si="16"/>
        <v>3899833.4899999998</v>
      </c>
      <c r="AC64" s="10">
        <f t="shared" si="17"/>
        <v>8.9741070332419323E-4</v>
      </c>
    </row>
    <row r="65" spans="2:29">
      <c r="B65" s="9">
        <f t="shared" si="15"/>
        <v>59</v>
      </c>
      <c r="C65" s="9" t="s">
        <v>291</v>
      </c>
      <c r="D65" s="22">
        <v>268848.84000000003</v>
      </c>
      <c r="E65" s="10">
        <f>IF(D$83=0,"n.a.",D65/D$83)</f>
        <v>7.7079844497313717E-4</v>
      </c>
      <c r="F65" s="22">
        <v>219067.74</v>
      </c>
      <c r="G65" s="10">
        <f>IF(F$83=0,"n.a.",F65/F$83)</f>
        <v>6.6592622773250826E-4</v>
      </c>
      <c r="H65" s="22">
        <v>261451.45</v>
      </c>
      <c r="I65" s="10">
        <f>IF(H$83=0,"n.a.",H65/H$83)</f>
        <v>7.7530607637982122E-4</v>
      </c>
      <c r="J65" s="22">
        <v>266770.71000000002</v>
      </c>
      <c r="K65" s="10">
        <f>IF(J$83=0,"n.a.",J65/J$83)</f>
        <v>7.7981812056103776E-4</v>
      </c>
      <c r="L65" s="22">
        <v>262920.19</v>
      </c>
      <c r="M65" s="10">
        <f>IF(L$83=0,"n.a.",L65/L$83)</f>
        <v>7.5098318500001204E-4</v>
      </c>
      <c r="N65" s="22">
        <v>275427.39</v>
      </c>
      <c r="O65" s="10">
        <f>IF(N$83=0,"n.a.",N65/N$83)</f>
        <v>7.9162704556188764E-4</v>
      </c>
      <c r="P65" s="22">
        <v>290835.02</v>
      </c>
      <c r="Q65" s="10">
        <f>IF(P$83=0,"n.a.",P65/P$83)</f>
        <v>7.8513861862810957E-4</v>
      </c>
      <c r="R65" s="22">
        <v>485263.92</v>
      </c>
      <c r="S65" s="10">
        <f>IF(R$83=0,"n.a.",R65/R$83)</f>
        <v>1.2783234964428168E-3</v>
      </c>
      <c r="T65" s="22">
        <v>307292.23</v>
      </c>
      <c r="U65" s="10">
        <f>IF(T$83=0,"n.a.",T65/T$83)</f>
        <v>8.4772973461461369E-4</v>
      </c>
      <c r="V65" s="22">
        <v>296568.34999999998</v>
      </c>
      <c r="W65" s="10">
        <f>IF(V$83=0,"n.a.",V65/V$83)</f>
        <v>7.9036264113620486E-4</v>
      </c>
      <c r="X65" s="22">
        <v>333571.27</v>
      </c>
      <c r="Y65" s="10">
        <f>IF(X$83=0,"n.a.",X65/X$83)</f>
        <v>9.0510303041071083E-4</v>
      </c>
      <c r="Z65" s="22">
        <v>399971.05</v>
      </c>
      <c r="AA65" s="10">
        <f t="shared" si="33"/>
        <v>9.2106568107305938E-4</v>
      </c>
      <c r="AB65" s="22">
        <f t="shared" si="16"/>
        <v>3667988.1599999997</v>
      </c>
      <c r="AC65" s="10">
        <f t="shared" si="17"/>
        <v>8.4405958431071719E-4</v>
      </c>
    </row>
    <row r="66" spans="2:29">
      <c r="B66" s="9">
        <f t="shared" si="15"/>
        <v>60</v>
      </c>
      <c r="C66" s="9" t="s">
        <v>292</v>
      </c>
      <c r="D66" s="22">
        <v>309518.82</v>
      </c>
      <c r="E66" s="10">
        <f>IF(D$83=0,"n.a.",D66/D$83)</f>
        <v>8.87400611979283E-4</v>
      </c>
      <c r="F66" s="22">
        <v>299814.49</v>
      </c>
      <c r="G66" s="10">
        <f>IF(F$83=0,"n.a.",F66/F$83)</f>
        <v>9.1138171391755729E-4</v>
      </c>
      <c r="H66" s="22">
        <v>358367.38</v>
      </c>
      <c r="I66" s="10">
        <f>IF(H$83=0,"n.a.",H66/H$83)</f>
        <v>1.0626998140202183E-3</v>
      </c>
      <c r="J66" s="22">
        <v>372997.37</v>
      </c>
      <c r="K66" s="10">
        <f>IF(J$83=0,"n.a.",J66/J$83)</f>
        <v>1.0903374963751079E-3</v>
      </c>
      <c r="L66" s="22">
        <v>351959.06</v>
      </c>
      <c r="M66" s="10">
        <f>IF(L$83=0,"n.a.",L66/L$83)</f>
        <v>1.0053063474068321E-3</v>
      </c>
      <c r="N66" s="22">
        <v>376858.99</v>
      </c>
      <c r="O66" s="10">
        <f>IF(N$83=0,"n.a.",N66/N$83)</f>
        <v>1.0831594085364455E-3</v>
      </c>
      <c r="P66" s="22">
        <v>333149.75</v>
      </c>
      <c r="Q66" s="10">
        <f>IF(P$83=0,"n.a.",P66/P$83)</f>
        <v>8.993715217352437E-4</v>
      </c>
      <c r="R66" s="22">
        <v>373620.36</v>
      </c>
      <c r="S66" s="10">
        <f>IF(R$83=0,"n.a.",R66/R$83)</f>
        <v>9.8422253386862952E-4</v>
      </c>
      <c r="T66" s="22">
        <v>347776.78</v>
      </c>
      <c r="U66" s="10">
        <f>IF(T$83=0,"n.a.",T66/T$83)</f>
        <v>9.5941481310648483E-4</v>
      </c>
      <c r="V66" s="22">
        <v>129071.32</v>
      </c>
      <c r="W66" s="10">
        <f>IF(V$83=0,"n.a.",V66/V$83)</f>
        <v>3.4397854447427138E-4</v>
      </c>
      <c r="X66" s="22"/>
      <c r="Y66" s="10"/>
      <c r="Z66" s="22"/>
      <c r="AA66" s="10"/>
      <c r="AB66" s="22">
        <f t="shared" si="16"/>
        <v>3253134.32</v>
      </c>
      <c r="AC66" s="10">
        <f t="shared" si="17"/>
        <v>7.4859543762707446E-4</v>
      </c>
    </row>
    <row r="67" spans="2:29">
      <c r="B67" s="9">
        <f t="shared" si="15"/>
        <v>61</v>
      </c>
      <c r="C67" s="9" t="s">
        <v>293</v>
      </c>
      <c r="D67" s="22">
        <v>208119</v>
      </c>
      <c r="E67" s="10">
        <f>IF(D$83=0,"n.a.",D67/D$83)</f>
        <v>5.966840012006908E-4</v>
      </c>
      <c r="F67" s="22">
        <v>175439.59</v>
      </c>
      <c r="G67" s="10">
        <f>IF(F$83=0,"n.a.",F67/F$83)</f>
        <v>5.3330455850614006E-4</v>
      </c>
      <c r="H67" s="22">
        <v>172128.6</v>
      </c>
      <c r="I67" s="10">
        <f>IF(H$83=0,"n.a.",H67/H$83)</f>
        <v>5.1042879853506918E-4</v>
      </c>
      <c r="J67" s="22">
        <v>170658</v>
      </c>
      <c r="K67" s="10">
        <f>IF(J$83=0,"n.a.",J67/J$83)</f>
        <v>4.9886361519488245E-4</v>
      </c>
      <c r="L67" s="22">
        <v>198792.45</v>
      </c>
      <c r="M67" s="10">
        <f>IF(L$83=0,"n.a.",L67/L$83)</f>
        <v>5.6781408554039024E-4</v>
      </c>
      <c r="N67" s="22">
        <v>193284.53</v>
      </c>
      <c r="O67" s="10">
        <f>IF(N$83=0,"n.a.",N67/N$83)</f>
        <v>5.5553393377731251E-4</v>
      </c>
      <c r="P67" s="22">
        <v>190950.93</v>
      </c>
      <c r="Q67" s="10">
        <f>IF(P$83=0,"n.a.",P67/P$83)</f>
        <v>5.1549139235692058E-4</v>
      </c>
      <c r="R67" s="22">
        <v>201305.61</v>
      </c>
      <c r="S67" s="10">
        <f>IF(R$83=0,"n.a.",R67/R$83)</f>
        <v>5.3029636167624839E-4</v>
      </c>
      <c r="T67" s="22">
        <v>207390.96</v>
      </c>
      <c r="U67" s="10">
        <f>IF(T$83=0,"n.a.",T67/T$83)</f>
        <v>5.7213123638781874E-4</v>
      </c>
      <c r="V67" s="22">
        <v>203397.64</v>
      </c>
      <c r="W67" s="10">
        <f>IF(V$83=0,"n.a.",V67/V$83)</f>
        <v>5.4206018933332237E-4</v>
      </c>
      <c r="X67" s="22">
        <v>205447.19</v>
      </c>
      <c r="Y67" s="10">
        <f>IF(X$83=0,"n.a.",X67/X$83)</f>
        <v>5.5745470603138297E-4</v>
      </c>
      <c r="Z67" s="22">
        <v>206483.45</v>
      </c>
      <c r="AA67" s="10">
        <f t="shared" ref="AA67:AA73" si="34">IF(Z$83=0,"n.a.",Z67/Z$83)</f>
        <v>4.75496462817909E-4</v>
      </c>
      <c r="AB67" s="22">
        <f t="shared" si="16"/>
        <v>2333397.9500000002</v>
      </c>
      <c r="AC67" s="10">
        <f t="shared" si="17"/>
        <v>5.3695018026134525E-4</v>
      </c>
    </row>
    <row r="68" spans="2:29">
      <c r="B68" s="9">
        <f t="shared" si="15"/>
        <v>62</v>
      </c>
      <c r="C68" s="9" t="s">
        <v>294</v>
      </c>
      <c r="D68" s="22"/>
      <c r="E68" s="10"/>
      <c r="F68" s="22"/>
      <c r="G68" s="10"/>
      <c r="H68" s="22"/>
      <c r="I68" s="10"/>
      <c r="J68" s="22"/>
      <c r="K68" s="10"/>
      <c r="L68" s="22"/>
      <c r="M68" s="10"/>
      <c r="N68" s="22"/>
      <c r="O68" s="10"/>
      <c r="P68" s="22"/>
      <c r="Q68" s="10"/>
      <c r="R68" s="22"/>
      <c r="S68" s="10"/>
      <c r="T68" s="22"/>
      <c r="U68" s="10"/>
      <c r="V68" s="22"/>
      <c r="W68" s="10"/>
      <c r="X68" s="22"/>
      <c r="Y68" s="10"/>
      <c r="Z68" s="22">
        <v>1147415.74</v>
      </c>
      <c r="AA68" s="10">
        <f t="shared" si="34"/>
        <v>2.642304386872621E-3</v>
      </c>
      <c r="AB68" s="22">
        <f t="shared" si="16"/>
        <v>1147415.74</v>
      </c>
      <c r="AC68" s="10">
        <f t="shared" si="17"/>
        <v>2.6403772593856301E-4</v>
      </c>
    </row>
    <row r="69" spans="2:29">
      <c r="B69" s="9">
        <f t="shared" si="15"/>
        <v>63</v>
      </c>
      <c r="C69" s="9" t="s">
        <v>295</v>
      </c>
      <c r="D69" s="22"/>
      <c r="E69" s="10"/>
      <c r="F69" s="22"/>
      <c r="G69" s="10"/>
      <c r="H69" s="22"/>
      <c r="I69" s="10"/>
      <c r="J69" s="22"/>
      <c r="K69" s="10"/>
      <c r="L69" s="22"/>
      <c r="M69" s="10"/>
      <c r="N69" s="22"/>
      <c r="O69" s="10"/>
      <c r="P69" s="22"/>
      <c r="Q69" s="10"/>
      <c r="R69" s="22"/>
      <c r="S69" s="10"/>
      <c r="T69" s="22"/>
      <c r="U69" s="10"/>
      <c r="V69" s="22"/>
      <c r="W69" s="10"/>
      <c r="X69" s="22"/>
      <c r="Y69" s="10"/>
      <c r="Z69" s="22">
        <v>956735.77</v>
      </c>
      <c r="AA69" s="10">
        <f t="shared" si="34"/>
        <v>2.2032006656531964E-3</v>
      </c>
      <c r="AB69" s="22">
        <f t="shared" si="16"/>
        <v>956735.77</v>
      </c>
      <c r="AC69" s="10">
        <f t="shared" si="17"/>
        <v>2.2015937922803818E-4</v>
      </c>
    </row>
    <row r="70" spans="2:29">
      <c r="B70" s="9">
        <f t="shared" si="15"/>
        <v>64</v>
      </c>
      <c r="C70" s="9" t="s">
        <v>296</v>
      </c>
      <c r="D70" s="22"/>
      <c r="E70" s="10"/>
      <c r="F70" s="22"/>
      <c r="G70" s="10"/>
      <c r="H70" s="22"/>
      <c r="I70" s="10"/>
      <c r="J70" s="22"/>
      <c r="K70" s="10"/>
      <c r="L70" s="22"/>
      <c r="M70" s="10"/>
      <c r="N70" s="22"/>
      <c r="O70" s="10"/>
      <c r="P70" s="22"/>
      <c r="Q70" s="10"/>
      <c r="R70" s="22"/>
      <c r="S70" s="10"/>
      <c r="T70" s="22"/>
      <c r="U70" s="10"/>
      <c r="V70" s="22"/>
      <c r="W70" s="10"/>
      <c r="X70" s="22"/>
      <c r="Y70" s="10"/>
      <c r="Z70" s="22">
        <v>953701.35</v>
      </c>
      <c r="AA70" s="10">
        <f t="shared" si="34"/>
        <v>2.1962129096044481E-3</v>
      </c>
      <c r="AB70" s="22">
        <f t="shared" si="16"/>
        <v>953701.35</v>
      </c>
      <c r="AC70" s="10">
        <f t="shared" si="17"/>
        <v>2.1946111326530832E-4</v>
      </c>
    </row>
    <row r="71" spans="2:29">
      <c r="B71" s="9">
        <f t="shared" si="15"/>
        <v>65</v>
      </c>
      <c r="C71" s="9" t="s">
        <v>297</v>
      </c>
      <c r="D71" s="22"/>
      <c r="E71" s="10"/>
      <c r="F71" s="22"/>
      <c r="G71" s="10"/>
      <c r="H71" s="22"/>
      <c r="I71" s="10"/>
      <c r="J71" s="22"/>
      <c r="K71" s="10"/>
      <c r="L71" s="22"/>
      <c r="M71" s="10"/>
      <c r="N71" s="22"/>
      <c r="O71" s="10"/>
      <c r="P71" s="22"/>
      <c r="Q71" s="10"/>
      <c r="R71" s="22"/>
      <c r="S71" s="10"/>
      <c r="T71" s="22"/>
      <c r="U71" s="10"/>
      <c r="V71" s="22"/>
      <c r="W71" s="10"/>
      <c r="X71" s="22"/>
      <c r="Y71" s="10"/>
      <c r="Z71" s="22">
        <v>903702.93</v>
      </c>
      <c r="AA71" s="10">
        <f t="shared" si="34"/>
        <v>2.0810750045738794E-3</v>
      </c>
      <c r="AB71" s="22">
        <f t="shared" si="16"/>
        <v>903702.93</v>
      </c>
      <c r="AC71" s="10">
        <f t="shared" ref="AC71:AC76" si="35">IF($AB$83=0,"n.a.",AB71/$AB$83)</f>
        <v>2.0795572018318E-4</v>
      </c>
    </row>
    <row r="72" spans="2:29">
      <c r="B72" s="9">
        <f t="shared" si="15"/>
        <v>66</v>
      </c>
      <c r="C72" s="9" t="s">
        <v>298</v>
      </c>
      <c r="D72" s="22"/>
      <c r="E72" s="10"/>
      <c r="F72" s="22"/>
      <c r="G72" s="10"/>
      <c r="H72" s="22"/>
      <c r="I72" s="10"/>
      <c r="J72" s="22"/>
      <c r="K72" s="10"/>
      <c r="L72" s="22"/>
      <c r="M72" s="10"/>
      <c r="N72" s="22"/>
      <c r="O72" s="10"/>
      <c r="P72" s="22"/>
      <c r="Q72" s="10"/>
      <c r="R72" s="22"/>
      <c r="S72" s="10"/>
      <c r="T72" s="22"/>
      <c r="U72" s="10"/>
      <c r="V72" s="22"/>
      <c r="W72" s="10"/>
      <c r="X72" s="22">
        <v>171927.65</v>
      </c>
      <c r="Y72" s="10">
        <f>IF(X$83=0,"n.a.",X72/X$83)</f>
        <v>4.6650371606161414E-4</v>
      </c>
      <c r="Z72" s="22">
        <v>234849.37</v>
      </c>
      <c r="AA72" s="10">
        <f t="shared" si="34"/>
        <v>5.4081837905175622E-4</v>
      </c>
      <c r="AB72" s="22">
        <f t="shared" si="16"/>
        <v>406777.02</v>
      </c>
      <c r="AC72" s="10">
        <f t="shared" si="35"/>
        <v>9.3605548172857878E-5</v>
      </c>
    </row>
    <row r="73" spans="2:29">
      <c r="B73" s="9">
        <f t="shared" si="15"/>
        <v>67</v>
      </c>
      <c r="C73" s="9" t="s">
        <v>299</v>
      </c>
      <c r="D73" s="22">
        <v>21802.03</v>
      </c>
      <c r="E73" s="10">
        <f>IF(D$83=0,"n.a.",D73/D$83)</f>
        <v>6.2507135315360414E-5</v>
      </c>
      <c r="F73" s="22">
        <v>17720.34</v>
      </c>
      <c r="G73" s="10">
        <f>IF(F$83=0,"n.a.",F73/F$83)</f>
        <v>5.3866622124907467E-5</v>
      </c>
      <c r="H73" s="22">
        <v>22739.69</v>
      </c>
      <c r="I73" s="10">
        <f>IF(H$83=0,"n.a.",H73/H$83)</f>
        <v>6.7432098127562324E-5</v>
      </c>
      <c r="J73" s="22">
        <v>18798</v>
      </c>
      <c r="K73" s="10">
        <f>IF(J$83=0,"n.a.",J73/J$83)</f>
        <v>5.4949889477395728E-5</v>
      </c>
      <c r="L73" s="22">
        <v>25668.59</v>
      </c>
      <c r="M73" s="10">
        <f>IF(L$83=0,"n.a.",L73/L$83)</f>
        <v>7.3317608178586285E-5</v>
      </c>
      <c r="N73" s="22">
        <v>21225.42</v>
      </c>
      <c r="O73" s="10">
        <f>IF(N$83=0,"n.a.",N73/N$83)</f>
        <v>6.1005612133964593E-5</v>
      </c>
      <c r="P73" s="22">
        <v>30085.62</v>
      </c>
      <c r="Q73" s="10">
        <f>IF(P$83=0,"n.a.",P73/P$83)</f>
        <v>8.1219180989174639E-5</v>
      </c>
      <c r="R73" s="22">
        <v>29253.66</v>
      </c>
      <c r="S73" s="10">
        <f>IF(R$83=0,"n.a.",R73/R$83)</f>
        <v>7.7062479598626196E-5</v>
      </c>
      <c r="T73" s="22">
        <v>41534.04</v>
      </c>
      <c r="U73" s="10">
        <f>IF(T$83=0,"n.a.",T73/T$83)</f>
        <v>1.1458031563854626E-4</v>
      </c>
      <c r="V73" s="22">
        <v>26804.55</v>
      </c>
      <c r="W73" s="10">
        <f>IF(V$83=0,"n.a.",V73/V$83)</f>
        <v>7.1434847759268514E-5</v>
      </c>
      <c r="X73" s="22">
        <v>23119.200000000001</v>
      </c>
      <c r="Y73" s="10">
        <f>IF(X$83=0,"n.a.",X73/X$83)</f>
        <v>6.2730995929809262E-5</v>
      </c>
      <c r="Z73" s="22">
        <v>31298.03</v>
      </c>
      <c r="AA73" s="10">
        <f t="shared" si="34"/>
        <v>7.2074069656278983E-5</v>
      </c>
      <c r="AB73" s="22">
        <f t="shared" si="16"/>
        <v>310049.17000000004</v>
      </c>
      <c r="AC73" s="10">
        <f t="shared" si="35"/>
        <v>7.1347006078144735E-5</v>
      </c>
    </row>
    <row r="74" spans="2:29">
      <c r="B74" s="9">
        <f t="shared" si="15"/>
        <v>68</v>
      </c>
      <c r="C74" s="9" t="s">
        <v>300</v>
      </c>
      <c r="D74" s="22">
        <v>105606.91</v>
      </c>
      <c r="E74" s="10">
        <f>IF(D$83=0,"n.a.",D74/D$83)</f>
        <v>3.0277847583950167E-4</v>
      </c>
      <c r="F74" s="22">
        <v>68618.55</v>
      </c>
      <c r="G74" s="10">
        <f>IF(F$83=0,"n.a.",F74/F$83)</f>
        <v>2.0858795619096865E-4</v>
      </c>
      <c r="H74" s="22">
        <v>72435.759999999995</v>
      </c>
      <c r="I74" s="10">
        <f>IF(H$83=0,"n.a.",H74/H$83)</f>
        <v>2.1480043379063453E-4</v>
      </c>
      <c r="J74" s="22">
        <v>60957.87</v>
      </c>
      <c r="K74" s="10">
        <f>IF(J$83=0,"n.a.",J74/J$83)</f>
        <v>1.7819067024563555E-4</v>
      </c>
      <c r="L74" s="22"/>
      <c r="M74" s="10"/>
      <c r="N74" s="22"/>
      <c r="O74" s="10"/>
      <c r="P74" s="22"/>
      <c r="Q74" s="10"/>
      <c r="R74" s="22"/>
      <c r="S74" s="10"/>
      <c r="T74" s="22"/>
      <c r="U74" s="10"/>
      <c r="V74" s="22"/>
      <c r="W74" s="10"/>
      <c r="X74" s="22"/>
      <c r="Y74" s="10"/>
      <c r="Z74" s="22"/>
      <c r="AA74" s="10"/>
      <c r="AB74" s="22">
        <f t="shared" si="16"/>
        <v>307619.09000000003</v>
      </c>
      <c r="AC74" s="10">
        <f t="shared" si="35"/>
        <v>7.0787807895061788E-5</v>
      </c>
    </row>
    <row r="75" spans="2:29">
      <c r="B75" s="9">
        <f t="shared" si="15"/>
        <v>69</v>
      </c>
      <c r="C75" s="9" t="s">
        <v>301</v>
      </c>
      <c r="D75" s="22"/>
      <c r="E75" s="10"/>
      <c r="F75" s="22"/>
      <c r="G75" s="10"/>
      <c r="H75" s="22"/>
      <c r="I75" s="10"/>
      <c r="J75" s="22"/>
      <c r="K75" s="10"/>
      <c r="L75" s="22">
        <v>0</v>
      </c>
      <c r="M75" s="10">
        <f>IF(L$83=0,"n.a.",L75/L$83)</f>
        <v>0</v>
      </c>
      <c r="N75" s="22">
        <v>0</v>
      </c>
      <c r="O75" s="10">
        <f>IF(N$83=0,"n.a.",N75/N$83)</f>
        <v>0</v>
      </c>
      <c r="P75" s="22"/>
      <c r="Q75" s="10"/>
      <c r="R75" s="22"/>
      <c r="S75" s="10"/>
      <c r="T75" s="22"/>
      <c r="U75" s="10"/>
      <c r="V75" s="22"/>
      <c r="W75" s="10"/>
      <c r="X75" s="22"/>
      <c r="Y75" s="10"/>
      <c r="Z75" s="22"/>
      <c r="AA75" s="10"/>
      <c r="AB75" s="22">
        <f t="shared" si="16"/>
        <v>0</v>
      </c>
      <c r="AC75" s="10">
        <f t="shared" si="35"/>
        <v>0</v>
      </c>
    </row>
    <row r="76" spans="2:29" ht="24" customHeight="1">
      <c r="B76" s="6"/>
      <c r="C76" s="6" t="s">
        <v>34</v>
      </c>
      <c r="D76" s="23">
        <f>SUM(D7:D75)</f>
        <v>343661797.07999998</v>
      </c>
      <c r="E76" s="11">
        <f>IF(D$83=0,"n.a.",D76/D$83)</f>
        <v>0.98528964746858405</v>
      </c>
      <c r="F76" s="23">
        <f>SUM(F7:F75)</f>
        <v>324469362.93000013</v>
      </c>
      <c r="G76" s="11">
        <f>IF(F$83=0,"n.a.",F76/F$83)</f>
        <v>0.98632805939726742</v>
      </c>
      <c r="H76" s="23">
        <f>SUM(H7:H75)</f>
        <v>331138871.64000005</v>
      </c>
      <c r="I76" s="11">
        <f>IF(H$83=0,"n.a.",H76/H$83)</f>
        <v>0.98195660918327166</v>
      </c>
      <c r="J76" s="23">
        <f>SUM(J7:J75)</f>
        <v>337960045.41999984</v>
      </c>
      <c r="K76" s="11">
        <f>IF(J$83=0,"n.a.",J76/J$83)</f>
        <v>0.98791717967893566</v>
      </c>
      <c r="L76" s="23">
        <f>SUM(L7:L75)</f>
        <v>346168175.54999989</v>
      </c>
      <c r="M76" s="11">
        <f>IF(L$83=0,"n.a.",L76/L$83)</f>
        <v>0.98876575062638672</v>
      </c>
      <c r="N76" s="23">
        <f>SUM(N7:N75)</f>
        <v>344150783.67999983</v>
      </c>
      <c r="O76" s="11">
        <f>IF(N$83=0,"n.a.",N76/N$83)</f>
        <v>0.98915023706395555</v>
      </c>
      <c r="P76" s="23">
        <f>SUM(P7:P75)</f>
        <v>366445998.21000022</v>
      </c>
      <c r="Q76" s="11">
        <f>IF(P$83=0,"n.a.",P76/P$83)</f>
        <v>0.98925811904081662</v>
      </c>
      <c r="R76" s="23">
        <f>SUM(R7:R75)</f>
        <v>376529538.35000002</v>
      </c>
      <c r="S76" s="11">
        <f>IF(R$83=0,"n.a.",R76/R$83)</f>
        <v>0.99188613894387978</v>
      </c>
      <c r="T76" s="23">
        <f>SUM(T7:T75)</f>
        <v>354890760.63000005</v>
      </c>
      <c r="U76" s="11">
        <f>IF(T$83=0,"n.a.",T76/T$83)</f>
        <v>0.97904021304426858</v>
      </c>
      <c r="V76" s="23">
        <f>SUM(V7:V75)</f>
        <v>369013420.7100001</v>
      </c>
      <c r="W76" s="11">
        <f>IF(V$83=0,"n.a.",V76/V$83)</f>
        <v>0.98343070596394133</v>
      </c>
      <c r="X76" s="23">
        <f>SUM(X7:X75)</f>
        <v>362234752.25</v>
      </c>
      <c r="Y76" s="11">
        <f>IF(X$83=0,"n.a.",X76/X$83)</f>
        <v>0.98287772799362494</v>
      </c>
      <c r="Z76" s="23">
        <f>SUM(Z7:Z75)</f>
        <v>426991004.74999994</v>
      </c>
      <c r="AA76" s="11">
        <f>IF(Z$83=0,"n.a.",Z76/Z$83)</f>
        <v>0.98328806697916926</v>
      </c>
      <c r="AB76" s="23">
        <f>SUM(AB7:AB75)</f>
        <v>4283654511.1999989</v>
      </c>
      <c r="AC76" s="11">
        <f t="shared" si="35"/>
        <v>0.98573372877359555</v>
      </c>
    </row>
    <row r="77" spans="2:29" ht="19.95" customHeight="1">
      <c r="B77" s="9"/>
      <c r="C77" s="9"/>
      <c r="D77" s="22"/>
      <c r="E77" s="10"/>
      <c r="F77" s="22"/>
      <c r="G77" s="10"/>
      <c r="H77" s="22"/>
      <c r="I77" s="10"/>
      <c r="J77" s="22"/>
      <c r="K77" s="10"/>
      <c r="L77" s="22"/>
      <c r="M77" s="10"/>
      <c r="N77" s="22"/>
      <c r="O77" s="10"/>
      <c r="P77" s="22"/>
      <c r="Q77" s="10"/>
      <c r="R77" s="22"/>
      <c r="S77" s="10"/>
      <c r="T77" s="22"/>
      <c r="U77" s="10"/>
      <c r="V77" s="22"/>
      <c r="W77" s="10"/>
      <c r="X77" s="22"/>
      <c r="Y77" s="10"/>
      <c r="Z77" s="22"/>
      <c r="AA77" s="10"/>
      <c r="AB77" s="22"/>
      <c r="AC77" s="10"/>
    </row>
    <row r="78" spans="2:29" ht="24" customHeight="1">
      <c r="B78" s="6"/>
      <c r="C78" s="6" t="s">
        <v>35</v>
      </c>
      <c r="D78" s="24"/>
      <c r="E78" s="7"/>
      <c r="F78" s="24"/>
      <c r="G78" s="7"/>
      <c r="H78" s="24"/>
      <c r="I78" s="7"/>
      <c r="J78" s="24"/>
      <c r="K78" s="7"/>
      <c r="L78" s="24"/>
      <c r="M78" s="7"/>
      <c r="N78" s="24"/>
      <c r="O78" s="7"/>
      <c r="P78" s="24"/>
      <c r="Q78" s="7"/>
      <c r="R78" s="24"/>
      <c r="S78" s="7"/>
      <c r="T78" s="24"/>
      <c r="U78" s="7"/>
      <c r="V78" s="24"/>
      <c r="W78" s="7"/>
      <c r="X78" s="24"/>
      <c r="Y78" s="7"/>
      <c r="Z78" s="24"/>
      <c r="AA78" s="7"/>
      <c r="AB78" s="24"/>
      <c r="AC78" s="7"/>
    </row>
    <row r="79" spans="2:29" ht="19.95" customHeight="1">
      <c r="B79" s="9"/>
      <c r="C79" s="9" t="s">
        <v>36</v>
      </c>
      <c r="D79" s="22">
        <v>5130862.99</v>
      </c>
      <c r="E79" s="10">
        <f>IF(D$83=0,"n.a.",D79/D$83)</f>
        <v>1.4710352531415873E-2</v>
      </c>
      <c r="F79" s="22">
        <v>4497617.01</v>
      </c>
      <c r="G79" s="10">
        <f>IF(F$83=0,"n.a.",F79/F$83)</f>
        <v>1.3671940602732574E-2</v>
      </c>
      <c r="H79" s="22">
        <v>6084655.9000000004</v>
      </c>
      <c r="I79" s="10">
        <f>IF(H$83=0,"n.a.",H79/H$83)</f>
        <v>1.804339081672842E-2</v>
      </c>
      <c r="J79" s="22">
        <v>4133454.29</v>
      </c>
      <c r="K79" s="10">
        <f>IF(J$83=0,"n.a.",J79/J$83)</f>
        <v>1.2082820321064327E-2</v>
      </c>
      <c r="L79" s="22">
        <v>3933125.32</v>
      </c>
      <c r="M79" s="10">
        <f>IF(L$83=0,"n.a.",L79/L$83)</f>
        <v>1.1234249373613307E-2</v>
      </c>
      <c r="N79" s="22">
        <v>3774911.31</v>
      </c>
      <c r="O79" s="10">
        <f>IF(N$83=0,"n.a.",N79/N$83)</f>
        <v>1.0849762936044432E-2</v>
      </c>
      <c r="P79" s="22">
        <v>3979061.9</v>
      </c>
      <c r="Q79" s="10">
        <f>IF(P$83=0,"n.a.",P79/P$83)</f>
        <v>1.0741880959183461E-2</v>
      </c>
      <c r="R79" s="22">
        <v>3080099.86</v>
      </c>
      <c r="S79" s="10">
        <f>IF(R$83=0,"n.a.",R79/R$83)</f>
        <v>8.1138610561202057E-3</v>
      </c>
      <c r="T79" s="22">
        <v>7597680.5</v>
      </c>
      <c r="U79" s="10">
        <f>IF(T$83=0,"n.a.",T79/T$83)</f>
        <v>2.0959786955731443E-2</v>
      </c>
      <c r="V79" s="22">
        <v>6217308.2800000003</v>
      </c>
      <c r="W79" s="10">
        <f>IF(V$83=0,"n.a.",V79/V$83)</f>
        <v>1.656929403605879E-2</v>
      </c>
      <c r="X79" s="22">
        <v>6310329.1299999999</v>
      </c>
      <c r="Y79" s="10">
        <f>IF(X$83=0,"n.a.",X79/X$83)</f>
        <v>1.7122272006375082E-2</v>
      </c>
      <c r="Z79" s="22">
        <v>7257125.6699999999</v>
      </c>
      <c r="AA79" s="10">
        <f>IF(Z$83=0,"n.a.",Z79/Z$83)</f>
        <v>1.6711933020830714E-2</v>
      </c>
      <c r="AB79" s="22">
        <f>SUM(D79,F79,H79,J79,L79,N79,P79,R79,T79,V79,X79,Z79)</f>
        <v>61996232.160000004</v>
      </c>
      <c r="AC79" s="10">
        <f>IF($AB$83=0,"n.a.",AB79/$AB$83)</f>
        <v>1.4266271226404484E-2</v>
      </c>
    </row>
    <row r="80" spans="2:29" ht="19.95" customHeight="1">
      <c r="B80" s="9"/>
      <c r="C80" s="9" t="s">
        <v>37</v>
      </c>
      <c r="D80" s="22"/>
      <c r="E80" s="10"/>
      <c r="F80" s="22"/>
      <c r="G80" s="10"/>
      <c r="H80" s="22"/>
      <c r="I80" s="10"/>
      <c r="J80" s="22"/>
      <c r="K80" s="10"/>
      <c r="L80" s="22"/>
      <c r="M80" s="10"/>
      <c r="N80" s="22"/>
      <c r="O80" s="10"/>
      <c r="P80" s="22"/>
      <c r="Q80" s="10"/>
      <c r="R80" s="22"/>
      <c r="S80" s="10"/>
      <c r="T80" s="22"/>
      <c r="U80" s="10"/>
      <c r="V80" s="22">
        <v>0</v>
      </c>
      <c r="W80" s="10">
        <f>IF(V$83=0,"n.a.",V80/V$83)</f>
        <v>0</v>
      </c>
      <c r="X80" s="22"/>
      <c r="Y80" s="10"/>
      <c r="Z80" s="22"/>
      <c r="AA80" s="10"/>
      <c r="AB80" s="22">
        <f>SUM(D80,F80,H80,J80,L80,N80,P80,R80,T80,V80,X80,Z80)</f>
        <v>0</v>
      </c>
      <c r="AC80" s="10">
        <f>IF($AB$83=0,"n.a.",AB80/$AB$83)</f>
        <v>0</v>
      </c>
    </row>
    <row r="81" spans="2:29" ht="19.95" customHeight="1">
      <c r="B81" s="9"/>
      <c r="C81" s="9" t="s">
        <v>38</v>
      </c>
      <c r="D81" s="22"/>
      <c r="E81" s="10"/>
      <c r="F81" s="22"/>
      <c r="G81" s="10"/>
      <c r="H81" s="22"/>
      <c r="I81" s="10"/>
      <c r="J81" s="22"/>
      <c r="K81" s="10"/>
      <c r="L81" s="22"/>
      <c r="M81" s="10"/>
      <c r="N81" s="22"/>
      <c r="O81" s="10"/>
      <c r="P81" s="22">
        <v>0</v>
      </c>
      <c r="Q81" s="10">
        <f>IF(P$83=0,"n.a.",P81/P$83)</f>
        <v>0</v>
      </c>
      <c r="R81" s="22"/>
      <c r="S81" s="10"/>
      <c r="T81" s="22"/>
      <c r="U81" s="10"/>
      <c r="V81" s="22"/>
      <c r="W81" s="10"/>
      <c r="X81" s="22"/>
      <c r="Y81" s="10"/>
      <c r="Z81" s="22"/>
      <c r="AA81" s="10"/>
      <c r="AB81" s="22">
        <f>SUM(D81,F81,H81,J81,L81,N81,P81,R81,T81,V81,X81,Z81)</f>
        <v>0</v>
      </c>
      <c r="AC81" s="10">
        <f>IF($AB$83=0,"n.a.",AB81/$AB$83)</f>
        <v>0</v>
      </c>
    </row>
    <row r="82" spans="2:29" ht="19.95" customHeight="1">
      <c r="B82" s="9"/>
      <c r="C82" s="9"/>
      <c r="D82" s="22"/>
      <c r="E82" s="10"/>
      <c r="F82" s="22"/>
      <c r="G82" s="10"/>
      <c r="H82" s="22"/>
      <c r="I82" s="10"/>
      <c r="J82" s="22"/>
      <c r="K82" s="10"/>
      <c r="L82" s="22"/>
      <c r="M82" s="10"/>
      <c r="N82" s="22"/>
      <c r="O82" s="10"/>
      <c r="P82" s="22"/>
      <c r="Q82" s="10"/>
      <c r="R82" s="22"/>
      <c r="S82" s="10"/>
      <c r="T82" s="22"/>
      <c r="U82" s="10"/>
      <c r="V82" s="22"/>
      <c r="W82" s="10"/>
      <c r="X82" s="22"/>
      <c r="Y82" s="10"/>
      <c r="Z82" s="22"/>
      <c r="AA82" s="10"/>
      <c r="AB82" s="22"/>
      <c r="AC82" s="10"/>
    </row>
    <row r="83" spans="2:29" ht="24" customHeight="1">
      <c r="B83" s="6"/>
      <c r="C83" s="6" t="s">
        <v>39</v>
      </c>
      <c r="D83" s="23">
        <f>SUM(D76,D79:D81)</f>
        <v>348792660.06999999</v>
      </c>
      <c r="E83" s="11">
        <f>IF(D$83=0,"n.a.",D83/D$83)</f>
        <v>1</v>
      </c>
      <c r="F83" s="23">
        <f>SUM(F76,F79:F81)</f>
        <v>328966979.94000012</v>
      </c>
      <c r="G83" s="11">
        <f>IF(F$83=0,"n.a.",F83/F$83)</f>
        <v>1</v>
      </c>
      <c r="H83" s="23">
        <f>SUM(H76,H79:H81)</f>
        <v>337223527.54000002</v>
      </c>
      <c r="I83" s="11">
        <f>IF(H$83=0,"n.a.",H83/H$83)</f>
        <v>1</v>
      </c>
      <c r="J83" s="23">
        <f>SUM(J76,J79:J81)</f>
        <v>342093499.70999986</v>
      </c>
      <c r="K83" s="11">
        <f>IF(J$83=0,"n.a.",J83/J$83)</f>
        <v>1</v>
      </c>
      <c r="L83" s="23">
        <f>SUM(L76,L79:L81)</f>
        <v>350101300.86999989</v>
      </c>
      <c r="M83" s="11">
        <f>IF(L$83=0,"n.a.",L83/L$83)</f>
        <v>1</v>
      </c>
      <c r="N83" s="23">
        <f>SUM(N76,N79:N81)</f>
        <v>347925694.98999983</v>
      </c>
      <c r="O83" s="11">
        <f>IF(N$83=0,"n.a.",N83/N$83)</f>
        <v>1</v>
      </c>
      <c r="P83" s="23">
        <f>SUM(P76,P79:P81)</f>
        <v>370425060.11000019</v>
      </c>
      <c r="Q83" s="11">
        <f>IF(P$83=0,"n.a.",P83/P$83)</f>
        <v>1</v>
      </c>
      <c r="R83" s="23">
        <f>SUM(R76,R79:R81)</f>
        <v>379609638.21000004</v>
      </c>
      <c r="S83" s="11">
        <f>IF(R$83=0,"n.a.",R83/R$83)</f>
        <v>1</v>
      </c>
      <c r="T83" s="23">
        <f>SUM(T76,T79:T81)</f>
        <v>362488441.13000005</v>
      </c>
      <c r="U83" s="11">
        <f>IF(T$83=0,"n.a.",T83/T$83)</f>
        <v>1</v>
      </c>
      <c r="V83" s="23">
        <f>SUM(V76,V79:V81)</f>
        <v>375230728.99000007</v>
      </c>
      <c r="W83" s="11">
        <f>IF(V$83=0,"n.a.",V83/V$83)</f>
        <v>1</v>
      </c>
      <c r="X83" s="23">
        <f>SUM(X76,X79:X81)</f>
        <v>368545081.38</v>
      </c>
      <c r="Y83" s="11">
        <f>IF(X$83=0,"n.a.",X83/X$83)</f>
        <v>1</v>
      </c>
      <c r="Z83" s="23">
        <f>SUM(Z76,Z79:Z81)</f>
        <v>434248130.41999996</v>
      </c>
      <c r="AA83" s="11">
        <f>IF(Z$83=0,"n.a.",Z83/Z$83)</f>
        <v>1</v>
      </c>
      <c r="AB83" s="23">
        <f>SUM(AB76,AB79:AB81)</f>
        <v>4345650743.3599987</v>
      </c>
      <c r="AC83" s="11">
        <f>IF($AB$83=0,"n.a.",AB83/$AB$83)</f>
        <v>1</v>
      </c>
    </row>
    <row r="84" spans="2:29" ht="19.95" customHeight="1">
      <c r="B84" s="9"/>
      <c r="C84" s="9"/>
      <c r="D84" s="22"/>
      <c r="E84" s="10"/>
      <c r="F84" s="22"/>
      <c r="G84" s="10"/>
      <c r="H84" s="22"/>
      <c r="I84" s="10"/>
      <c r="J84" s="22"/>
      <c r="K84" s="10"/>
      <c r="L84" s="22"/>
      <c r="M84" s="10"/>
      <c r="N84" s="22"/>
      <c r="O84" s="10"/>
      <c r="P84" s="22"/>
      <c r="Q84" s="10"/>
      <c r="R84" s="22"/>
      <c r="S84" s="10"/>
      <c r="T84" s="22"/>
      <c r="U84" s="10"/>
      <c r="V84" s="22"/>
      <c r="W84" s="10"/>
      <c r="X84" s="22"/>
      <c r="Y84" s="10"/>
      <c r="Z84" s="22"/>
      <c r="AA84" s="10"/>
      <c r="AB84" s="22"/>
      <c r="AC84" s="10"/>
    </row>
    <row r="85" spans="2:29" ht="19.95" customHeight="1">
      <c r="B85" s="9"/>
      <c r="C85" s="9"/>
      <c r="D85" s="22"/>
      <c r="E85" s="10"/>
      <c r="F85" s="22"/>
      <c r="G85" s="10"/>
      <c r="H85" s="22"/>
      <c r="I85" s="10"/>
      <c r="J85" s="22"/>
      <c r="K85" s="10"/>
      <c r="L85" s="22"/>
      <c r="M85" s="10"/>
      <c r="N85" s="22"/>
      <c r="O85" s="10"/>
      <c r="P85" s="22"/>
      <c r="Q85" s="10"/>
      <c r="R85" s="22"/>
      <c r="S85" s="10"/>
      <c r="T85" s="22"/>
      <c r="U85" s="10"/>
      <c r="V85" s="22"/>
      <c r="W85" s="10"/>
      <c r="X85" s="22"/>
      <c r="Y85" s="10"/>
      <c r="Z85" s="22"/>
      <c r="AA85" s="10"/>
      <c r="AB85" s="22"/>
      <c r="AC85" s="10"/>
    </row>
    <row r="86" spans="2:29" ht="19.95" customHeight="1">
      <c r="B86" s="9"/>
      <c r="C86" s="9"/>
      <c r="D86" s="22"/>
      <c r="E86" s="10"/>
      <c r="F86" s="22"/>
      <c r="G86" s="10"/>
      <c r="H86" s="22"/>
      <c r="I86" s="10"/>
      <c r="J86" s="22"/>
      <c r="K86" s="10"/>
      <c r="L86" s="22"/>
      <c r="M86" s="10"/>
      <c r="N86" s="22"/>
      <c r="O86" s="10"/>
      <c r="P86" s="22"/>
      <c r="Q86" s="10"/>
      <c r="R86" s="22"/>
      <c r="S86" s="10"/>
      <c r="T86" s="22"/>
      <c r="U86" s="10"/>
      <c r="V86" s="22"/>
      <c r="W86" s="10"/>
      <c r="X86" s="22"/>
      <c r="Y86" s="10"/>
      <c r="Z86" s="22"/>
      <c r="AA86" s="10"/>
      <c r="AB86" s="22"/>
      <c r="AC86" s="10"/>
    </row>
    <row r="87" spans="2:29" ht="19.95" customHeight="1">
      <c r="B87" s="9"/>
      <c r="C87" s="9" t="s">
        <v>40</v>
      </c>
      <c r="D87" s="22">
        <v>348792660.06999999</v>
      </c>
      <c r="E87" s="10"/>
      <c r="F87" s="22">
        <v>328966979.94</v>
      </c>
      <c r="G87" s="10"/>
      <c r="H87" s="22">
        <v>337223527.54000002</v>
      </c>
      <c r="I87" s="10"/>
      <c r="J87" s="22">
        <v>342093499.70999998</v>
      </c>
      <c r="K87" s="10"/>
      <c r="L87" s="22">
        <v>350101300.87</v>
      </c>
      <c r="M87" s="10"/>
      <c r="N87" s="22">
        <v>347925694.99000001</v>
      </c>
      <c r="O87" s="10"/>
      <c r="P87" s="22">
        <v>370425060.11000001</v>
      </c>
      <c r="Q87" s="10"/>
      <c r="R87" s="22">
        <v>379609638.20999998</v>
      </c>
      <c r="S87" s="10"/>
      <c r="T87" s="22">
        <v>362488441.13</v>
      </c>
      <c r="U87" s="10"/>
      <c r="V87" s="22">
        <v>375230728.99000001</v>
      </c>
      <c r="W87" s="10"/>
      <c r="X87" s="22">
        <v>368545081.38</v>
      </c>
      <c r="Y87" s="10"/>
      <c r="Z87" s="22">
        <v>434248130.42000002</v>
      </c>
      <c r="AA87" s="10"/>
      <c r="AB87" s="22">
        <v>4345650743.3599997</v>
      </c>
      <c r="AC87" s="10"/>
    </row>
    <row r="88" spans="2:29" ht="19.95" customHeight="1">
      <c r="B88" s="9"/>
      <c r="C88" s="9" t="s">
        <v>41</v>
      </c>
      <c r="D88" s="25">
        <f>ROUND(D83-D87,2)</f>
        <v>0</v>
      </c>
      <c r="E88" s="10"/>
      <c r="F88" s="25">
        <f>ROUND(F83-F87,2)</f>
        <v>0</v>
      </c>
      <c r="G88" s="10"/>
      <c r="H88" s="25">
        <f>ROUND(H83-H87,2)</f>
        <v>0</v>
      </c>
      <c r="I88" s="10"/>
      <c r="J88" s="25">
        <f>ROUND(J83-J87,2)</f>
        <v>0</v>
      </c>
      <c r="K88" s="10"/>
      <c r="L88" s="25">
        <f>ROUND(L83-L87,2)</f>
        <v>0</v>
      </c>
      <c r="M88" s="10"/>
      <c r="N88" s="25">
        <f>ROUND(N83-N87,2)</f>
        <v>0</v>
      </c>
      <c r="O88" s="10"/>
      <c r="P88" s="25">
        <f>ROUND(P83-P87,2)</f>
        <v>0</v>
      </c>
      <c r="Q88" s="10"/>
      <c r="R88" s="25">
        <f>ROUND(R83-R87,2)</f>
        <v>0</v>
      </c>
      <c r="S88" s="10"/>
      <c r="T88" s="25">
        <f>ROUND(T83-T87,2)</f>
        <v>0</v>
      </c>
      <c r="U88" s="10"/>
      <c r="V88" s="25">
        <f>ROUND(V83-V87,2)</f>
        <v>0</v>
      </c>
      <c r="W88" s="10"/>
      <c r="X88" s="25">
        <f>ROUND(X83-X87,2)</f>
        <v>0</v>
      </c>
      <c r="Y88" s="10"/>
      <c r="Z88" s="25">
        <f>ROUND(Z83-Z87,2)</f>
        <v>0</v>
      </c>
      <c r="AA88" s="10"/>
      <c r="AB88" s="25">
        <f>ROUND(AB83-AB87,2)</f>
        <v>0</v>
      </c>
      <c r="AC88" s="10"/>
    </row>
    <row r="89" spans="2:29" ht="19.95" customHeight="1">
      <c r="B89" s="9"/>
      <c r="C89" s="9"/>
      <c r="D89" s="22"/>
      <c r="E89" s="26"/>
      <c r="F89" s="22"/>
      <c r="G89" s="26"/>
      <c r="H89" s="22"/>
      <c r="I89" s="26"/>
      <c r="J89" s="22"/>
      <c r="K89" s="26"/>
      <c r="L89" s="22"/>
      <c r="M89" s="26"/>
      <c r="N89" s="22"/>
      <c r="O89" s="26"/>
      <c r="P89" s="22"/>
      <c r="Q89" s="26"/>
      <c r="R89" s="22"/>
      <c r="S89" s="26"/>
      <c r="T89" s="22"/>
      <c r="U89" s="26"/>
      <c r="V89" s="22"/>
      <c r="W89" s="26"/>
      <c r="X89" s="22"/>
      <c r="Y89" s="26"/>
      <c r="Z89" s="22"/>
      <c r="AA89" s="26"/>
      <c r="AB89" s="22"/>
      <c r="AC89" s="26"/>
    </row>
    <row r="90" spans="2:29" ht="19.95" customHeight="1">
      <c r="B90" s="9"/>
      <c r="C90" s="9" t="s">
        <v>42</v>
      </c>
      <c r="D90" s="22"/>
      <c r="E90" s="26"/>
      <c r="F90" s="22"/>
      <c r="G90" s="26"/>
      <c r="H90" s="22"/>
      <c r="I90" s="26"/>
      <c r="J90" s="22"/>
      <c r="K90" s="26"/>
      <c r="L90" s="22"/>
      <c r="M90" s="26"/>
      <c r="N90" s="22"/>
      <c r="O90" s="26"/>
      <c r="P90" s="22"/>
      <c r="Q90" s="26"/>
      <c r="R90" s="22"/>
      <c r="S90" s="26"/>
      <c r="T90" s="22"/>
      <c r="U90" s="26"/>
      <c r="V90" s="22"/>
      <c r="W90" s="26"/>
      <c r="X90" s="22"/>
      <c r="Y90" s="26"/>
      <c r="Z90" s="22"/>
      <c r="AA90" s="26"/>
      <c r="AB90" s="22">
        <f>SUM('Profit and Loss'!G6:G8)*1000</f>
        <v>4345650744</v>
      </c>
      <c r="AC90" s="26"/>
    </row>
    <row r="91" spans="2:29" ht="19.95" customHeight="1">
      <c r="B91" s="9"/>
      <c r="C91" s="9" t="s">
        <v>43</v>
      </c>
      <c r="D91" s="22"/>
      <c r="E91" s="26"/>
      <c r="F91" s="22"/>
      <c r="G91" s="26"/>
      <c r="H91" s="22"/>
      <c r="I91" s="26"/>
      <c r="J91" s="22"/>
      <c r="K91" s="26"/>
      <c r="L91" s="22"/>
      <c r="M91" s="26"/>
      <c r="N91" s="22"/>
      <c r="O91" s="26"/>
      <c r="P91" s="22"/>
      <c r="Q91" s="26"/>
      <c r="R91" s="22"/>
      <c r="S91" s="26"/>
      <c r="T91" s="22"/>
      <c r="U91" s="26"/>
      <c r="V91" s="22"/>
      <c r="W91" s="26"/>
      <c r="X91" s="22"/>
      <c r="Y91" s="26"/>
      <c r="Z91" s="22"/>
      <c r="AA91" s="26"/>
      <c r="AB91" s="25">
        <f>ROUND(AB83-AB90,2)</f>
        <v>-0.64</v>
      </c>
      <c r="AC91" s="26"/>
    </row>
    <row r="92" spans="2:29" ht="19.95" customHeight="1">
      <c r="B92" s="9"/>
      <c r="C92" s="27" t="s">
        <v>44</v>
      </c>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row>
    <row r="93" spans="2:29" ht="19.95" customHeight="1">
      <c r="B93" s="9"/>
      <c r="C93" s="27" t="s">
        <v>45</v>
      </c>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row>
  </sheetData>
  <conditionalFormatting sqref="D88">
    <cfRule type="expression" dxfId="13" priority="1">
      <formula>ABS(D88)&gt;0.01</formula>
    </cfRule>
  </conditionalFormatting>
  <conditionalFormatting sqref="F88">
    <cfRule type="expression" dxfId="12" priority="2">
      <formula>ABS(F88)&gt;0.01</formula>
    </cfRule>
  </conditionalFormatting>
  <conditionalFormatting sqref="H88">
    <cfRule type="expression" dxfId="11" priority="3">
      <formula>ABS(H88)&gt;0.01</formula>
    </cfRule>
  </conditionalFormatting>
  <conditionalFormatting sqref="J88">
    <cfRule type="expression" dxfId="10" priority="4">
      <formula>ABS(J88)&gt;0.01</formula>
    </cfRule>
  </conditionalFormatting>
  <conditionalFormatting sqref="L88">
    <cfRule type="expression" dxfId="9" priority="5">
      <formula>ABS(L88)&gt;0.01</formula>
    </cfRule>
  </conditionalFormatting>
  <conditionalFormatting sqref="N88">
    <cfRule type="expression" dxfId="8" priority="6">
      <formula>ABS(N88)&gt;0.01</formula>
    </cfRule>
  </conditionalFormatting>
  <conditionalFormatting sqref="P88">
    <cfRule type="expression" dxfId="7" priority="7">
      <formula>ABS(P88)&gt;0.01</formula>
    </cfRule>
  </conditionalFormatting>
  <conditionalFormatting sqref="R88">
    <cfRule type="expression" dxfId="6" priority="8">
      <formula>ABS(R88)&gt;0.01</formula>
    </cfRule>
  </conditionalFormatting>
  <conditionalFormatting sqref="T88">
    <cfRule type="expression" dxfId="5" priority="9">
      <formula>ABS(T88)&gt;0.01</formula>
    </cfRule>
  </conditionalFormatting>
  <conditionalFormatting sqref="V88">
    <cfRule type="expression" dxfId="4" priority="10">
      <formula>ABS(V88)&gt;0.01</formula>
    </cfRule>
  </conditionalFormatting>
  <conditionalFormatting sqref="X88">
    <cfRule type="expression" dxfId="3" priority="11">
      <formula>ABS(X88)&gt;0.01</formula>
    </cfRule>
  </conditionalFormatting>
  <conditionalFormatting sqref="Z88">
    <cfRule type="expression" dxfId="2" priority="12">
      <formula>ABS(Z88)&gt;0.01</formula>
    </cfRule>
  </conditionalFormatting>
  <conditionalFormatting sqref="AB88">
    <cfRule type="expression" dxfId="1" priority="13">
      <formula>ABS(AB88)&gt;0.01</formula>
    </cfRule>
  </conditionalFormatting>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B2:G20"/>
  <sheetViews>
    <sheetView workbookViewId="0">
      <pane xSplit="3" ySplit="5" topLeftCell="D6" activePane="bottomRight" state="frozen"/>
      <selection pane="topRight"/>
      <selection pane="bottomLeft"/>
      <selection pane="bottomRight" activeCell="G6" sqref="G6"/>
    </sheetView>
  </sheetViews>
  <sheetFormatPr defaultRowHeight="13.8"/>
  <cols>
    <col min="1" max="1" width="2.5" style="30" customWidth="1"/>
    <col min="2" max="2" width="7" style="30" customWidth="1"/>
    <col min="3" max="3" width="26" style="30" customWidth="1"/>
    <col min="4" max="4" width="21" style="30" customWidth="1"/>
    <col min="5" max="5" width="14" style="30" customWidth="1"/>
    <col min="6" max="6" width="15" style="30" customWidth="1"/>
    <col min="7" max="7" width="55" style="30" customWidth="1"/>
    <col min="8" max="8" width="61" style="30" customWidth="1"/>
    <col min="9" max="16384" width="8.796875" style="30"/>
  </cols>
  <sheetData>
    <row r="2" spans="2:7" ht="25.95" customHeight="1">
      <c r="B2" s="28"/>
      <c r="C2" s="29" t="s">
        <v>0</v>
      </c>
      <c r="D2" s="28"/>
      <c r="E2" s="28"/>
      <c r="F2" s="28"/>
      <c r="G2" s="28"/>
    </row>
    <row r="3" spans="2:7" ht="24" customHeight="1">
      <c r="B3" s="31"/>
      <c r="C3" s="29" t="s">
        <v>302</v>
      </c>
      <c r="D3" s="31"/>
      <c r="E3" s="31"/>
      <c r="F3" s="31"/>
      <c r="G3" s="31"/>
    </row>
    <row r="4" spans="2:7" ht="7.95" customHeight="1">
      <c r="B4" s="32"/>
      <c r="C4" s="32"/>
      <c r="D4" s="32"/>
      <c r="E4" s="32"/>
      <c r="F4" s="32"/>
      <c r="G4" s="32"/>
    </row>
    <row r="5" spans="2:7" ht="36" customHeight="1">
      <c r="B5" s="33" t="s">
        <v>6</v>
      </c>
      <c r="C5" s="33" t="s">
        <v>46</v>
      </c>
      <c r="D5" s="33" t="s">
        <v>47</v>
      </c>
      <c r="E5" s="33" t="s">
        <v>33</v>
      </c>
      <c r="F5" s="33" t="s">
        <v>48</v>
      </c>
      <c r="G5" s="33" t="s">
        <v>63</v>
      </c>
    </row>
    <row r="6" spans="2:7" ht="69">
      <c r="B6" s="34">
        <f t="shared" ref="B6:B17" si="0">COUNTIFS($D$6:$D$17,"&gt;"&amp;D6)+1</f>
        <v>1</v>
      </c>
      <c r="C6" s="35" t="s">
        <v>49</v>
      </c>
      <c r="D6" s="36">
        <f>'Branch Sales'!Z83</f>
        <v>434248130.41999996</v>
      </c>
      <c r="E6" s="37">
        <f t="shared" ref="E6:E17" si="1">IF($D$18=0,"n.a.",D6/$D$18)</f>
        <v>9.992706640852711E-2</v>
      </c>
      <c r="F6" s="37">
        <f>IF(D10=0,"n.a.",D6/D10-1)</f>
        <v>0.17827683059553512</v>
      </c>
      <c r="G6" s="38" t="s">
        <v>471</v>
      </c>
    </row>
    <row r="7" spans="2:7" ht="69">
      <c r="B7" s="34">
        <f t="shared" si="0"/>
        <v>2</v>
      </c>
      <c r="C7" s="35" t="s">
        <v>50</v>
      </c>
      <c r="D7" s="36">
        <f>'Branch Sales'!R83</f>
        <v>379609638.21000004</v>
      </c>
      <c r="E7" s="37">
        <f t="shared" si="1"/>
        <v>8.7353922491362201E-2</v>
      </c>
      <c r="F7" s="37">
        <f>IF(D9=0,"n.a.",D7/D9-1)</f>
        <v>2.4794699627699091E-2</v>
      </c>
      <c r="G7" s="38" t="s">
        <v>472</v>
      </c>
    </row>
    <row r="8" spans="2:7" ht="69">
      <c r="B8" s="34">
        <f t="shared" si="0"/>
        <v>3</v>
      </c>
      <c r="C8" s="35" t="s">
        <v>51</v>
      </c>
      <c r="D8" s="36">
        <f>'Branch Sales'!V83</f>
        <v>375230728.99000007</v>
      </c>
      <c r="E8" s="37">
        <f t="shared" si="1"/>
        <v>8.6346269212577487E-2</v>
      </c>
      <c r="F8" s="37">
        <f>IF(D11=0,"n.a.",D8/D11-1)</f>
        <v>3.5152259808003627E-2</v>
      </c>
      <c r="G8" s="38" t="s">
        <v>473</v>
      </c>
    </row>
    <row r="9" spans="2:7" ht="69">
      <c r="B9" s="34">
        <f t="shared" si="0"/>
        <v>4</v>
      </c>
      <c r="C9" s="35" t="s">
        <v>52</v>
      </c>
      <c r="D9" s="36">
        <f>'Branch Sales'!P83</f>
        <v>370425060.11000019</v>
      </c>
      <c r="E9" s="37">
        <f t="shared" si="1"/>
        <v>8.5240412077753028E-2</v>
      </c>
      <c r="F9" s="37">
        <f>IF(D14=0,"n.a.",D9/D14-1)</f>
        <v>6.4667155786372943E-2</v>
      </c>
      <c r="G9" s="38" t="s">
        <v>474</v>
      </c>
    </row>
    <row r="10" spans="2:7" ht="69">
      <c r="B10" s="34">
        <f t="shared" si="0"/>
        <v>5</v>
      </c>
      <c r="C10" s="35" t="s">
        <v>53</v>
      </c>
      <c r="D10" s="36">
        <f>'Branch Sales'!X83</f>
        <v>368545081.38</v>
      </c>
      <c r="E10" s="37">
        <f t="shared" si="1"/>
        <v>8.4807800521733992E-2</v>
      </c>
      <c r="F10" s="37">
        <f>IF(D8=0,"n.a.",D10/D8-1)</f>
        <v>-1.7817430965730519E-2</v>
      </c>
      <c r="G10" s="38" t="s">
        <v>475</v>
      </c>
    </row>
    <row r="11" spans="2:7" ht="69">
      <c r="B11" s="34">
        <f t="shared" si="0"/>
        <v>6</v>
      </c>
      <c r="C11" s="35" t="s">
        <v>54</v>
      </c>
      <c r="D11" s="36">
        <f>'Branch Sales'!T83</f>
        <v>362488441.13000005</v>
      </c>
      <c r="E11" s="37">
        <f t="shared" si="1"/>
        <v>8.3414075943371538E-2</v>
      </c>
      <c r="F11" s="37">
        <f>IF(D7=0,"n.a.",D11/D7-1)</f>
        <v>-4.5102113741718353E-2</v>
      </c>
      <c r="G11" s="38" t="s">
        <v>476</v>
      </c>
    </row>
    <row r="12" spans="2:7" ht="69">
      <c r="B12" s="34">
        <f t="shared" si="0"/>
        <v>7</v>
      </c>
      <c r="C12" s="35" t="s">
        <v>55</v>
      </c>
      <c r="D12" s="36">
        <f>'Branch Sales'!L83</f>
        <v>350101300.86999989</v>
      </c>
      <c r="E12" s="37">
        <f t="shared" si="1"/>
        <v>8.05636075114739E-2</v>
      </c>
      <c r="F12" s="37">
        <f>IF(D15=0,"n.a.",D12/D15-1)</f>
        <v>2.3408223677995776E-2</v>
      </c>
      <c r="G12" s="38" t="s">
        <v>477</v>
      </c>
    </row>
    <row r="13" spans="2:7" ht="55.2">
      <c r="B13" s="34">
        <f t="shared" si="0"/>
        <v>8</v>
      </c>
      <c r="C13" s="35" t="s">
        <v>56</v>
      </c>
      <c r="D13" s="36">
        <f>'Branch Sales'!D83</f>
        <v>348792660.06999999</v>
      </c>
      <c r="E13" s="37">
        <f t="shared" si="1"/>
        <v>8.0262469459365257E-2</v>
      </c>
      <c r="F13" s="37"/>
      <c r="G13" s="38" t="s">
        <v>478</v>
      </c>
    </row>
    <row r="14" spans="2:7" ht="69">
      <c r="B14" s="34">
        <f t="shared" si="0"/>
        <v>9</v>
      </c>
      <c r="C14" s="35" t="s">
        <v>57</v>
      </c>
      <c r="D14" s="36">
        <f>'Branch Sales'!N83</f>
        <v>347925694.98999983</v>
      </c>
      <c r="E14" s="37">
        <f t="shared" si="1"/>
        <v>8.0062967674431246E-2</v>
      </c>
      <c r="F14" s="37">
        <f>IF(D12=0,"n.a.",D14/D12-1)</f>
        <v>-6.2142182122536527E-3</v>
      </c>
      <c r="G14" s="38" t="s">
        <v>479</v>
      </c>
    </row>
    <row r="15" spans="2:7" ht="69">
      <c r="B15" s="34">
        <f t="shared" si="0"/>
        <v>10</v>
      </c>
      <c r="C15" s="35" t="s">
        <v>58</v>
      </c>
      <c r="D15" s="36">
        <f>'Branch Sales'!J83</f>
        <v>342093499.70999986</v>
      </c>
      <c r="E15" s="37">
        <f t="shared" si="1"/>
        <v>7.8720891280254529E-2</v>
      </c>
      <c r="F15" s="37">
        <f>IF(D16=0,"n.a.",D15/D16-1)</f>
        <v>1.4441377223960661E-2</v>
      </c>
      <c r="G15" s="38" t="s">
        <v>480</v>
      </c>
    </row>
    <row r="16" spans="2:7" ht="69">
      <c r="B16" s="34">
        <f t="shared" si="0"/>
        <v>11</v>
      </c>
      <c r="C16" s="35" t="s">
        <v>59</v>
      </c>
      <c r="D16" s="36">
        <f>'Branch Sales'!H83</f>
        <v>337223527.54000002</v>
      </c>
      <c r="E16" s="37">
        <f t="shared" si="1"/>
        <v>7.7600236985281332E-2</v>
      </c>
      <c r="F16" s="37">
        <f>IF(D17=0,"n.a.",D16/D17-1)</f>
        <v>2.5098408361549751E-2</v>
      </c>
      <c r="G16" s="38" t="s">
        <v>481</v>
      </c>
    </row>
    <row r="17" spans="2:7" ht="69">
      <c r="B17" s="34">
        <f t="shared" si="0"/>
        <v>12</v>
      </c>
      <c r="C17" s="35" t="s">
        <v>60</v>
      </c>
      <c r="D17" s="36">
        <f>'Branch Sales'!F83</f>
        <v>328966979.94000012</v>
      </c>
      <c r="E17" s="37">
        <f t="shared" si="1"/>
        <v>7.5700280433868256E-2</v>
      </c>
      <c r="F17" s="37">
        <f>IF(D13=0,"n.a.",D17/D13-1)</f>
        <v>-5.6840875395775314E-2</v>
      </c>
      <c r="G17" s="38" t="s">
        <v>482</v>
      </c>
    </row>
    <row r="18" spans="2:7">
      <c r="B18" s="39"/>
      <c r="C18" s="39" t="s">
        <v>61</v>
      </c>
      <c r="D18" s="40">
        <f>SUM(D6:D17)</f>
        <v>4345650743.3600006</v>
      </c>
      <c r="E18" s="41">
        <f>SUM(E6:E17)</f>
        <v>0.99999999999999978</v>
      </c>
      <c r="F18" s="41"/>
      <c r="G18" s="42"/>
    </row>
    <row r="19" spans="2:7">
      <c r="B19" s="32"/>
      <c r="C19" s="32"/>
      <c r="D19" s="32"/>
      <c r="E19" s="32"/>
      <c r="F19" s="32"/>
      <c r="G19" s="54"/>
    </row>
    <row r="20" spans="2:7">
      <c r="B20" s="32"/>
      <c r="C20" s="32"/>
      <c r="D20" s="32"/>
      <c r="E20" s="32"/>
      <c r="F20" s="32"/>
      <c r="G20" s="5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Profit and Loss</vt:lpstr>
      <vt:lpstr>Balance Sheet</vt:lpstr>
      <vt:lpstr>Schedule of Expenses</vt:lpstr>
      <vt:lpstr>Branch Sales</vt:lpstr>
      <vt:lpstr>Monthly Sales 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Edwin  Kingori</cp:lastModifiedBy>
  <dcterms:modified xsi:type="dcterms:W3CDTF">2026-10-25T23:11:54Z</dcterms:modified>
</cp:coreProperties>
</file>